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aeri\OneDrive\Documentos\archivos-kidyra\"/>
    </mc:Choice>
  </mc:AlternateContent>
  <bookViews>
    <workbookView xWindow="0" yWindow="0" windowWidth="28800" windowHeight="12210"/>
  </bookViews>
  <sheets>
    <sheet name="Resumen Plan De Pruebas" sheetId="1" r:id="rId1"/>
    <sheet name="Casos De Pruebas" sheetId="2" r:id="rId2"/>
  </sheets>
  <calcPr calcId="162913"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5" i="2" l="1"/>
  <c r="N35" i="2"/>
</calcChain>
</file>

<file path=xl/sharedStrings.xml><?xml version="1.0" encoding="utf-8"?>
<sst xmlns="http://schemas.openxmlformats.org/spreadsheetml/2006/main" count="342" uniqueCount="257">
  <si>
    <t xml:space="preserve">KIDYRA - PLAN DE CASOS DE PRUEBAS                                            </t>
  </si>
  <si>
    <t>Proyecto:</t>
  </si>
  <si>
    <t>Kidyra - Tu mundo, Tu aprendizaje</t>
  </si>
  <si>
    <t xml:space="preserve">Sprint: </t>
  </si>
  <si>
    <t>Sprint 2 - Diseño, Modelamiento y Funcionalidades base</t>
  </si>
  <si>
    <t>Equipo</t>
  </si>
  <si>
    <t>Jaime Delgadillo - Camila Erices - Dino Gamboa</t>
  </si>
  <si>
    <t>Fecha</t>
  </si>
  <si>
    <t>Versión</t>
  </si>
  <si>
    <t>V1.0</t>
  </si>
  <si>
    <t>Repositorio</t>
  </si>
  <si>
    <t>https://github.com/dinogamboa111/Taller-Programacion</t>
  </si>
  <si>
    <t>RESUMEN ESTADÍSTICO DEL PLAN DE PRUEBAS</t>
  </si>
  <si>
    <t>Indicador</t>
  </si>
  <si>
    <t>Valor</t>
  </si>
  <si>
    <t>Descripción</t>
  </si>
  <si>
    <t>Total de Casos de Prueba</t>
  </si>
  <si>
    <t>Suma de CPs registrados en el plan</t>
  </si>
  <si>
    <t>Casos con resultado Superado</t>
  </si>
  <si>
    <t>Casos en desarrollo activo</t>
  </si>
  <si>
    <t>Casos aún no ejecutados</t>
  </si>
  <si>
    <t>Casos con resultado Fallido</t>
  </si>
  <si>
    <t>% de Cobertura</t>
  </si>
  <si>
    <t>Porcentaje de CPs superados sobre total</t>
  </si>
  <si>
    <t>Prioridad Alta</t>
  </si>
  <si>
    <t>CPs con prioridad Alta</t>
  </si>
  <si>
    <t>Prioridad Media</t>
  </si>
  <si>
    <t>CPs con prioridad Media</t>
  </si>
  <si>
    <t>LEYENDA DE ESTADOS Y PRIORIDADES</t>
  </si>
  <si>
    <t>El caso de prueba fue ejecutado y el resultado obtenido coincide con el resultado esperado.</t>
  </si>
  <si>
    <t>El caso de prueba está siendo ejecutado o el componente que prueba está en desarrollo activo.</t>
  </si>
  <si>
    <t>El caso de prueba está definido pero aún no ha sido ejecutado (planificado para Sprint 3).</t>
  </si>
  <si>
    <t>El caso de prueba fue ejecutado y el resultado obtenido NO coincide con el resultado esperado.</t>
  </si>
  <si>
    <t>El caso de prueba requiere revisión adicional antes de su ejecución formal.</t>
  </si>
  <si>
    <t>Funcionalidad crítica del MVP. Bloquea el avance si falla.</t>
  </si>
  <si>
    <t>Funcionalidad importante pero no bloquea el MVP.</t>
  </si>
  <si>
    <t>Funcionalidad complementaria o de accesibilidad.</t>
  </si>
  <si>
    <t>Superado</t>
  </si>
  <si>
    <t>En Curso</t>
  </si>
  <si>
    <t>Pendiente</t>
  </si>
  <si>
    <t>Fallido</t>
  </si>
  <si>
    <t xml:space="preserve"> Abierto</t>
  </si>
  <si>
    <t xml:space="preserve"> Alta</t>
  </si>
  <si>
    <t>Media</t>
  </si>
  <si>
    <t xml:space="preserve"> Baja</t>
  </si>
  <si>
    <t xml:space="preserve">CPs Superados </t>
  </si>
  <si>
    <t xml:space="preserve">CPs En Curso </t>
  </si>
  <si>
    <t xml:space="preserve">CPs Pendientes </t>
  </si>
  <si>
    <t xml:space="preserve">CPs Fallidos </t>
  </si>
  <si>
    <t>KIDYRA  –  Casos de Prueba  |  Sprint 2</t>
  </si>
  <si>
    <t>AUTENTICACIÓN Y GESTIÓN DE USUARIOS</t>
  </si>
  <si>
    <t>No</t>
  </si>
  <si>
    <t>Módulo / CU</t>
  </si>
  <si>
    <t>Descripción del Caso</t>
  </si>
  <si>
    <t>Precondiciones</t>
  </si>
  <si>
    <t>Entradas / Datos de Prueba</t>
  </si>
  <si>
    <t>Pasos de Ejecución</t>
  </si>
  <si>
    <t>Resultado Esperado</t>
  </si>
  <si>
    <t>Resultado Obtenido</t>
  </si>
  <si>
    <t>Estado</t>
  </si>
  <si>
    <t>Prioridad</t>
  </si>
  <si>
    <t>Tipo de Prueba</t>
  </si>
  <si>
    <t>Responsable</t>
  </si>
  <si>
    <t>Historia de Usuario</t>
  </si>
  <si>
    <t>1.0</t>
  </si>
  <si>
    <t>CP-01</t>
  </si>
  <si>
    <t>CU-01
Registrar Usuario</t>
  </si>
  <si>
    <t>Verificar que el sistema rechaza el registro cuando se omiten campos obligatorios del formulario.</t>
  </si>
  <si>
    <t>El actor no posee cuenta registrada.
El formulario de registro está accesible.</t>
  </si>
  <si>
    <t>Formulario enviado con campos vacíos (nombre, correo y/o contraseña sin completar).</t>
  </si>
  <si>
    <t>1. Acceder a la página de registro de Kidyra.
2. Dejar uno o más campos obligatorios vacíos.
3. Seleccionar el botón «Registrarse».
4. Observar la respuesta del sistema.</t>
  </si>
  <si>
    <t>El sistema muestra mensajes de error en rojo junto a cada campo vacío.
El botón «Registrarse» permanece habilitado.
No se crea ningún registro en la base de datos.</t>
  </si>
  <si>
    <t>Alta</t>
  </si>
  <si>
    <t>Funcional / Validación</t>
  </si>
  <si>
    <t>Camila Erices</t>
  </si>
  <si>
    <t>US-13</t>
  </si>
  <si>
    <t>2.0</t>
  </si>
  <si>
    <t>CP-02</t>
  </si>
  <si>
    <t>Verificar que el sistema rechaza el registro cuando las contraseñas ingresadas no coinciden.</t>
  </si>
  <si>
    <t>Formulario de registro accesible.
Campos nombre y correo completados correctamente.</t>
  </si>
  <si>
    <t>Contraseña: «Kidyra2026»
Confirmar contraseña: «kidyra2026» (diferente capitalización).</t>
  </si>
  <si>
    <t>1. Acceder al formulario de registro.
2. Completar nombre y correo correctamente.
3. Ingresar contraseñas distintas en «Contraseña» y «Confirmar contraseña».
4. Seleccionar «Registrarse».</t>
  </si>
  <si>
    <t>El sistema muestra el mensaje: «Las contraseñas no coinciden».
No se crea el usuario en la base de datos.
El formulario permanece en pantalla para corrección.</t>
  </si>
  <si>
    <t>3.0</t>
  </si>
  <si>
    <t>CP-03</t>
  </si>
  <si>
    <t>Verificar que el sistema rechaza el registro con un correo electrónico ya registrado en el sistema.</t>
  </si>
  <si>
    <t>Existe un usuario registrado con el correo «tutor@kidyra.cl».</t>
  </si>
  <si>
    <t>Nombre: «Tutor Nuevo»
Correo: «tutor@kidyra.cl» (ya registrado)
Contraseña: «Test1234»</t>
  </si>
  <si>
    <t>1. Acceder al formulario de registro.
2. Ingresar el correo ya existente.
3. Completar los demás campos correctamente.
4. Seleccionar «Registrarse».</t>
  </si>
  <si>
    <t>El sistema muestra el mensaje: «El correo electrónico ya está registrado. ¿Deseas iniciar sesión?»
No se duplica el registro en Supabase.</t>
  </si>
  <si>
    <t>4.0</t>
  </si>
  <si>
    <t>CP-04</t>
  </si>
  <si>
    <t>Verificar que el sistema registra correctamente un usuario nuevo con todos los datos válidos.</t>
  </si>
  <si>
    <t>El correo electrónico no existe en la base de datos.
El formulario de registro está accesible.</t>
  </si>
  <si>
    <t>Nombre: «Ana García»
Correo: «ana@kidyra.cl»
Tipo: Tutor
Contraseña: «Kidyra2026!»</t>
  </si>
  <si>
    <t>1. Acceder al formulario de registro.
2. Completar todos los campos con datos válidos.
3. Seleccionar «Registrarse».
4. Verificar confirmación y registro en Supabase.</t>
  </si>
  <si>
    <t>HTTP 201 Created.
Usuario creado en la tabla users con contraseña almacenada en hash bcrypt (no en texto plano).
Mensaje: «Cuenta creada exitosamente. Revisa tu correo para confirmar tu registro».</t>
  </si>
  <si>
    <t>Funcional / Operativa</t>
  </si>
  <si>
    <t>Dino Gamboa</t>
  </si>
  <si>
    <t>5.0</t>
  </si>
  <si>
    <t>CP-05</t>
  </si>
  <si>
    <t>CU-02
Iniciar Sesión</t>
  </si>
  <si>
    <t>Verificar que el sistema autentica correctamente a un usuario registrado con credenciales válidas.</t>
  </si>
  <si>
    <t>Existe un usuario registrado y confirmado con el correo «ana@kidyra.cl».</t>
  </si>
  <si>
    <t>Correo: «ana@kidyra.cl»
Contraseña: «Kidyra2026!»</t>
  </si>
  <si>
    <t>1. Acceder a la pantalla de inicio de sesión.
2. Ingresar correo y contraseña válidos.
3. Seleccionar «Ingresar».
4. Verificar redirección al panel principal.</t>
  </si>
  <si>
    <t>HTTP 200 OK.
Token de sesión generado por Spring Security.
Redirección al panel principal de la plataforma.
Acceso habilitado a endpoints protegidos.</t>
  </si>
  <si>
    <t>6.0</t>
  </si>
  <si>
    <t>CP-06</t>
  </si>
  <si>
    <t>Verificar que el sistema rechaza el acceso con credenciales incorrectas sin revelar cuál campo es erróneo.</t>
  </si>
  <si>
    <t>Existe un usuario registrado con el correo «ana@kidyra.cl».</t>
  </si>
  <si>
    <t>Correo: «ana@kidyra.cl»
Contraseña: «contraseñaIncorrecta»</t>
  </si>
  <si>
    <t>1. Acceder a la pantalla de inicio de sesión.
2. Ingresar contraseña incorrecta.
3. Seleccionar «Ingresar».
4. Verificar mensaje de error.</t>
  </si>
  <si>
    <t>HTTP 401 Unauthorized.
Mensaje genérico: «Correo o contraseña incorrectos» (no especifica cuál campo falla — medida de seguridad).
No se genera token de sesión.</t>
  </si>
  <si>
    <t>Funcional / Seguridad</t>
  </si>
  <si>
    <t>7.0</t>
  </si>
  <si>
    <t>CP-07</t>
  </si>
  <si>
    <t>Seguridad
Spring Security</t>
  </si>
  <si>
    <t>Verificar que el sistema deniega el acceso a endpoints protegidos cuando el usuario no está autenticado.</t>
  </si>
  <si>
    <t>Ninguna sesión activa. Servidor Spring Boot en ejecución.</t>
  </si>
  <si>
    <t>Petición GET /api/documents/upload sin token de sesión en el header.</t>
  </si>
  <si>
    <t>1. Realizar una petición HTTP GET al endpoint /api/documents/upload.
2. No incluir token de sesión ni credenciales en el header.
3. Verificar la respuesta del servidor.</t>
  </si>
  <si>
    <t>HTTP 401 Unauthorized.
Acceso denegado por Spring Security.
No se expone ninguna información del sistema ni de la base de datos.</t>
  </si>
  <si>
    <t>Seguridad / Verificación</t>
  </si>
  <si>
    <t>INFRAESTRUCTURA Y ENTORNO</t>
  </si>
  <si>
    <t>8.0</t>
  </si>
  <si>
    <t>CP-08</t>
  </si>
  <si>
    <t>Infraestructura
Spring Boot / Maven</t>
  </si>
  <si>
    <t>Verificar que el proyecto compila correctamente y que el contexto de Spring Boot carga sin errores tras la configuración del entorno.</t>
  </si>
  <si>
    <t>Java 17/21 instalado. Maven Wrapper (mvnw.cmd) disponible en el repositorio.</t>
  </si>
  <si>
    <t>Ejecución del comando: mvnw.cmd clean package</t>
  </si>
  <si>
    <t>1. Clonar el repositorio en local.
2. Configurar el archivo application.properties con las variables de entorno (SUPABASE_URL, SUPABASE_PASSWORD, GEMINI_API_KEY).
3. Ejecutar mvnw.cmd clean package en la terminal.
4. Verificar el log de compilación.</t>
  </si>
  <si>
    <t>Estado de compilación: BUILD SUCCESS.
Log confirma: «Started KydiraApplication».
Todas las dependencias (JPA, Web, Security, PostgreSQL, PDFBox, POI) resueltas sin conflictos.</t>
  </si>
  <si>
    <t>Verificación / Operativa</t>
  </si>
  <si>
    <t>US-12</t>
  </si>
  <si>
    <t>9.0</t>
  </si>
  <si>
    <t>CP-09</t>
  </si>
  <si>
    <t>Infraestructura
Supabase / HikariCP</t>
  </si>
  <si>
    <t>Verificar que la conexión entre la aplicación Spring Boot y la base de datos PostgreSQL en Supabase se establece correctamente mediante HikariCP.</t>
  </si>
  <si>
    <t>Supabase operativo. Variables SUPABASE_URL y SUPABASE_PASSWORD configuradas en application.properties.</t>
  </si>
  <si>
    <t>Arranque de la aplicación con configuración de BD completa.</t>
  </si>
  <si>
    <t>1. Iniciar la aplicación Spring Boot con la configuración de Supabase.
2. Observar los logs del servidor al iniciar.
3. Verificar el mensaje de confirmación de HikariCP.
4. Ejecutar una consulta básica SELECT en la BD para confirmar conectividad.</t>
  </si>
  <si>
    <t>Log confirma: «HikariPool-1 - Start completed».
Conexión JDBC establecida al Session Pooler de Supabase en el puerto 5432.
Consulta básica retorna resultados sin errores.</t>
  </si>
  <si>
    <t>Operativa / Integración</t>
  </si>
  <si>
    <t>PROCESAMIENTO DE DOCUMENTOS</t>
  </si>
  <si>
    <t>10.0</t>
  </si>
  <si>
    <t>CP-10</t>
  </si>
  <si>
    <t>CU-04
Cargar Documento</t>
  </si>
  <si>
    <t>Verificar que el sistema carga y procesa correctamente un documento PDF válido, extrayendo su contenido textual.</t>
  </si>
  <si>
    <t>Usuario autenticado con sesión activa.
Servidor Spring Boot en ejecución.
Tabla documents creada en Supabase.</t>
  </si>
  <si>
    <t>Archivo: «materia_ciencias.pdf» (2 MB, texto seleccionable, formato .pdf).</t>
  </si>
  <si>
    <t>1. Autenticar al usuario y obtener token de sesión.
2. Realizar petición POST /api/documents/upload con el archivo PDF como multipart/form-data.
3. Verificar la respuesta HTTP.
4. Consultar la tabla documents en Supabase y verificar el registro y la columna raw_content.</t>
  </si>
  <si>
    <t>HTTP 200 OK.
Metadatos registrados en tabla documents (nombre, tipo, fecha, estado: PROCESSED).
Texto extraído almacenado en columna raw_content mediante Apache PDFBox.
Respuesta JSON incluye el ID del documento creado.</t>
  </si>
  <si>
    <t>Funcional / Integración</t>
  </si>
  <si>
    <t>US-15</t>
  </si>
  <si>
    <t>11.0</t>
  </si>
  <si>
    <t>CP-11</t>
  </si>
  <si>
    <t>Verificar que el sistema carga y procesa correctamente un documento Word (.docx) válido, extrayendo su contenido textual.</t>
  </si>
  <si>
    <t>Usuario autenticado. Servidor en ejecución. Tabla documents en Supabase.</t>
  </si>
  <si>
    <t>Archivo: «apuntes_matematicas.docx» (1.5 MB, formato .docx).</t>
  </si>
  <si>
    <t>1. Autenticar usuario y obtener token.
2. Realizar petición POST /api/documents/upload con el archivo .docx.
3. Verificar respuesta HTTP y registro en Supabase.
4. Confirmar texto extraído en columna raw_content.</t>
  </si>
  <si>
    <t>HTTP 200 OK.
Archivo procesado correctamente mediante Apache POI.
Registro en tabla documents con estado PROCESSED.
Texto plano extraído en columna raw_content.</t>
  </si>
  <si>
    <t>12.0</t>
  </si>
  <si>
    <t>CP-12</t>
  </si>
  <si>
    <t>Verificar que el sistema rechaza archivos con formato no soportado (.jpg, .png, .mp4, etc.).</t>
  </si>
  <si>
    <t>Usuario autenticado con sesión activa.</t>
  </si>
  <si>
    <t>Archivo: «imagen.jpg» (formato no soportado).</t>
  </si>
  <si>
    <t>1. Autenticar usuario.
2. Realizar petición POST /api/documents/upload con un archivo .jpg.
3. Verificar la respuesta del servidor.
4. Confirmar que no se crea ningún registro en Supabase.</t>
  </si>
  <si>
    <t>HTTP 400 Bad Request.
Mensaje descriptivo: «Formato no compatible. Por favor carga un archivo .pdf o .docx».
No se genera ningún registro en la tabla documents.</t>
  </si>
  <si>
    <t>13.0</t>
  </si>
  <si>
    <t>CP-13</t>
  </si>
  <si>
    <t>Verificar que el sistema rechaza archivos que exceden el tamaño máximo permitido por la capa gratuita de la API.</t>
  </si>
  <si>
    <t>Usuario autenticado. Límite de tamaño configurado en application.properties.</t>
  </si>
  <si>
    <t>Archivo PDF de 25 MB (supera el límite definido).</t>
  </si>
  <si>
    <t>1. Autenticar usuario.
2. Intentar cargar un archivo PDF de 25 MB.
3. Verificar la respuesta del sistema.</t>
  </si>
  <si>
    <t>HTTP 400 Bad Request.
Mensaje: «El archivo excede el tamaño máximo permitido. Intenta con un documento más pequeño».
No se genera registro en Supabase.</t>
  </si>
  <si>
    <t>GENERACIÓN DE CONTENIDO CON IA (GOOGLE GEMINI)</t>
  </si>
  <si>
    <t>14.0</t>
  </si>
  <si>
    <t>CP-14</t>
  </si>
  <si>
    <t>CU-05
Generar Resúmenes Didácticos</t>
  </si>
  <si>
    <t>Verificar que el sistema genera correctamente un resumen didáctico a partir de un documento previamente cargado, usando la API de Google Gemini.</t>
  </si>
  <si>
    <t>Usuario autenticado. Documento procesado y disponible en Supabase (documentId válido). API de Google Gemini disponible y con cuota activa.</t>
  </si>
  <si>
    <t>ID de documento válido: documentId=5 (texto de ciencias naturales extraído).</t>
  </si>
  <si>
    <t>1. Autenticar usuario.
2. Realizar petición POST /api/summaries/{documentId} con documentId=5.
3. Verificar que el sistema envía el prompt a Gemini con el texto del documento.
4. Verificar la respuesta JSON y el registro en la tabla summaries.</t>
  </si>
  <si>
    <t>HTTP 200 OK dentro de 10 segundos.
JSON con resumen en lenguaje sencillo adaptado al nivel infantil (6–10 años).
Resumen persistido en tabla summaries de Supabase, asociado al documentId.</t>
  </si>
  <si>
    <t>Funcional / Integración IA</t>
  </si>
  <si>
    <t>US-16</t>
  </si>
  <si>
    <t>15.0</t>
  </si>
  <si>
    <t>CP-15</t>
  </si>
  <si>
    <t>Verificar que el sistema responde adecuadamente cuando la API de Google Gemini no retorna respuesta dentro del tiempo límite definido (10 segundos).</t>
  </si>
  <si>
    <t>Usuario autenticado. Documento disponible. API de Gemini simulada con latencia elevada (&gt;10s) mediante herramienta de prueba.</t>
  </si>
  <si>
    <t>DocumentId=5. Latencia de red simulada: 15 segundos de demora en la respuesta de Gemini.</t>
  </si>
  <si>
    <t>1. Configurar un timeout de 10s en GeminiServiceImpl.
2. Simular latencia elevada en la API.
3. Realizar la petición de generación de resumen.
4. Verificar el manejo del timeout por parte del sistema.</t>
  </si>
  <si>
    <t>HTTP 504 Gateway Timeout o 503 Service Unavailable.
Mensaje descriptivo: «El servicio de IA no respondió en el tiempo esperado. Por favor intenta nuevamente».
No se genera registro parcial en Supabase.</t>
  </si>
  <si>
    <t>Funcional / Rendimiento</t>
  </si>
  <si>
    <t>16.0</t>
  </si>
  <si>
    <t>CP-16</t>
  </si>
  <si>
    <t>CU-06
Generar Trivias Interactivas</t>
  </si>
  <si>
    <t>Verificar que el sistema genera correctamente un conjunto de trivias didácticas (mínimo 5 preguntas) a partir de un documento cargado.</t>
  </si>
  <si>
    <t>Usuario autenticado. Documento procesado con documentId válido. API de Gemini disponible.</t>
  </si>
  <si>
    <t>DocumentId=5 (apuntes de ciencias naturales).</t>
  </si>
  <si>
    <t>1. Autenticar usuario.
2. Realizar petición POST /api/trivias/{documentId} con documentId=5.
3. Verificar estructura del JSON retornado.
4. Verificar persistencia en tabla trivias de Supabase.</t>
  </si>
  <si>
    <t>HTTP 200 OK.
JSON con mínimo 5 preguntas de opción múltiple (opciones A, B, C, D) basadas en el contenido del documento.
Cada pregunta indica la respuesta correcta.
Preguntas adaptadas al nivel de comprensión infantil.
Registro en tabla trivias de Supabase.</t>
  </si>
  <si>
    <t>US-17</t>
  </si>
  <si>
    <t>FRONTEND, PERSONALIZACIÓN Y ACCESIBILIDAD</t>
  </si>
  <si>
    <t>17.0</t>
  </si>
  <si>
    <t>CP-17</t>
  </si>
  <si>
    <t>CU-07
Seleccionar Temática Visual</t>
  </si>
  <si>
    <t>Verificar que el sistema aplica correctamente la temática visual seleccionada por el usuario en todas las pantallas de la plataforma.</t>
  </si>
  <si>
    <t>Usuario autenticado. Plataforma desplegada. Dos temáticas disponibles: Dinosaurios y Espacial.</t>
  </si>
  <si>
    <t>Selección: Temática «Dinosaurios».</t>
  </si>
  <si>
    <t>1. Autenticar usuario.
2. Acceder a la sección «Temática» del menú.
3. Seleccionar «Dinosaurios» y confirmar con «Aplicar».
4. Navegar por distintas pantallas de la plataforma.
5. Verificar que la temática se mantiene activa.</t>
  </si>
  <si>
    <t>La interfaz actualiza correctamente los elementos visuales (colores, imágenes, iconos) a la temática «Dinosaurios».
La preferencia persiste durante la sesión completa.
Registro de preferencia actualizado en Supabase.</t>
  </si>
  <si>
    <t>Funcional / Usabilidad</t>
  </si>
  <si>
    <t>Jaime Delgadillo</t>
  </si>
  <si>
    <t>US-18</t>
  </si>
  <si>
    <t>18.0</t>
  </si>
  <si>
    <t>CP-18</t>
  </si>
  <si>
    <t>CU-08
Reproducir por Audio</t>
  </si>
  <si>
    <t>Verificar que el sistema reproduce correctamente el resumen didáctico como audio mediante la Web Speech API del navegador.</t>
  </si>
  <si>
    <t>Resumen generado y visible en pantalla. Navegador: Chrome, Firefox o Edge. Dispositivo con altavoces o audífonos.</t>
  </si>
  <si>
    <t>Resumen de texto generado por Gemini (aprox. 150 palabras).
Navegador: Chrome v120.</t>
  </si>
  <si>
    <t>1. Generar un resumen para un documento cargado.
2. Seleccionar el botón «Reproducir por audio».
3. Verificar que el audio inicia correctamente.
4. Probar los controles: Pausar, Reanudar, Detener.
5. Verificar compatibilidad en Chrome, Firefox y Edge.</t>
  </si>
  <si>
    <t>El resumen se reproduce como audio en idioma español.
Velocidad y tono apropiados para público infantil.
Controles Pausar / Reanudar / Detener funcionan correctamente.
Compatible en Chrome, Firefox y Microsoft Edge.</t>
  </si>
  <si>
    <t>Funcional / Accesibilidad</t>
  </si>
  <si>
    <t>US-19</t>
  </si>
  <si>
    <t>19.0</t>
  </si>
  <si>
    <t>CP-19</t>
  </si>
  <si>
    <t>Verificar que el sistema muestra un mensaje de error adecuado cuando el navegador del usuario no es compatible con la Web Speech API.</t>
  </si>
  <si>
    <t>Resumen generado. Navegador sin soporte Web Speech API (ej.: navegador antiguo o entorno sin TTS).</t>
  </si>
  <si>
    <t>Botón «Reproducir por audio» activado en navegador sin Web Speech API.</t>
  </si>
  <si>
    <t>1. Acceder a la pantalla de resúmenes en un navegador sin soporte TTS.
2. Seleccionar «Reproducir por audio».
3. Verificar el mensaje de error del sistema.</t>
  </si>
  <si>
    <t>El botón de audio se deshabilita.
Mensaje: «Tu navegador no es compatible con la lectura por audio. Por favor usa Chrome, Firefox o Microsoft Edge».
La pantalla de resúmenes permanece funcional.</t>
  </si>
  <si>
    <t>20.0</t>
  </si>
  <si>
    <t>CP-20</t>
  </si>
  <si>
    <t>Frontend
Integración E2E</t>
  </si>
  <si>
    <t>Verificar el flujo completo de extremo a extremo del MVP: desde el registro hasta la generación de resúmenes con temática visual activa.</t>
  </si>
  <si>
    <t>Entorno de pruebas con frontend en localhost:3000 y backend en localhost:8080.
Supabase operativo. API Gemini disponible.</t>
  </si>
  <si>
    <t>Usuario nuevo no registrado. Documento PDF de prueba. Temática: Espacial.</t>
  </si>
  <si>
    <t>1. Registrar un nuevo usuario.
2. Iniciar sesión con las credenciales creadas.
3. Seleccionar temática visual «Espacial».
4. Cargar un documento PDF.
5. Generar resumen didáctico.
6. Reproducir el resumen por audio.
7. Generar trivias interactivas.
8. Responder las preguntas y verificar feedback.</t>
  </si>
  <si>
    <t>Cada paso del flujo se ejecuta sin errores.
No se producen errores de CORS entre frontend y backend.
El flujo completo se completa en menos de 60 segundos.
Todos los datos quedan registrados correctamente en Supabase.</t>
  </si>
  <si>
    <t>Integración E2E</t>
  </si>
  <si>
    <t>Equipo completo</t>
  </si>
  <si>
    <t>US-20</t>
  </si>
  <si>
    <t>TOTALES</t>
  </si>
  <si>
    <t>Superados</t>
  </si>
  <si>
    <t>Pendientes</t>
  </si>
  <si>
    <t>Fallidos</t>
  </si>
  <si>
    <t>Total CPs</t>
  </si>
  <si>
    <t>VALORES</t>
  </si>
  <si>
    <t>Versión: V1.0</t>
  </si>
  <si>
    <t>Camila Erices - Dino Gamboa - Jaime Delgadillo</t>
  </si>
  <si>
    <t xml:space="preserve">Equipo :  </t>
  </si>
  <si>
    <t>ID</t>
  </si>
  <si>
    <t>0%</t>
  </si>
  <si>
    <t>Sprint 2:  Mayo 2026</t>
  </si>
  <si>
    <t>Mayo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</si>
</sst>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7" x14ac:knownFonts="1">
    <font>
      <sz val="11"/>
      <color theme="1"/>
      <name val="Calibri"/>
      <family val="2"/>
      <scheme val="minor"/>
    </font>
    <font>
      <sz val="11"/>
      <color theme="1"/>
      <name val="Arial"/>
      <family val="2"/>
    </font>
    <font>
      <sz val="22"/>
      <color theme="0"/>
      <name val="Arial"/>
      <family val="2"/>
    </font>
    <font>
      <i/>
      <sz val="18"/>
      <color theme="0"/>
      <name val="Arial"/>
      <family val="2"/>
    </font>
    <font>
      <u/>
      <sz val="11"/>
      <color theme="10"/>
      <name val="Calibri"/>
      <family val="2"/>
      <scheme val="minor"/>
    </font>
    <font>
      <b/>
      <sz val="11"/>
      <color rgb="FFFFFFFF"/>
      <name val="Arial"/>
      <family val="2"/>
    </font>
    <font>
      <b/>
      <sz val="10"/>
      <color rgb="FFFFFFFF"/>
      <name val="Arial"/>
      <family val="2"/>
    </font>
    <font>
      <b/>
      <sz val="10"/>
      <color rgb="FF1A56A0"/>
      <name val="Arial"/>
      <family val="2"/>
    </font>
    <font>
      <sz val="10"/>
      <color rgb="FF1A1A1A"/>
      <name val="Arial"/>
      <family val="2"/>
    </font>
    <font>
      <i/>
      <sz val="10"/>
      <color rgb="FF4A4A4A"/>
      <name val="Arial"/>
      <family val="2"/>
    </font>
    <font>
      <b/>
      <sz val="10"/>
      <color rgb="FF155724"/>
      <name val="Arial"/>
      <family val="2"/>
    </font>
    <font>
      <sz val="10"/>
      <color rgb="FF4A4A4A"/>
      <name val="Arial"/>
      <family val="2"/>
    </font>
    <font>
      <b/>
      <sz val="10"/>
      <color rgb="FF004085"/>
      <name val="Arial"/>
      <family val="2"/>
    </font>
    <font>
      <b/>
      <sz val="10"/>
      <color rgb="FF383D41"/>
      <name val="Arial"/>
      <family val="2"/>
    </font>
    <font>
      <b/>
      <sz val="10"/>
      <color rgb="FF721C24"/>
      <name val="Arial"/>
      <family val="2"/>
    </font>
    <font>
      <b/>
      <sz val="10"/>
      <color rgb="FF7D4E00"/>
      <name val="Arial"/>
      <family val="2"/>
    </font>
    <font>
      <sz val="10"/>
      <color theme="1" tint="0.249977111117893"/>
      <name val="Arial"/>
      <family val="2"/>
    </font>
    <font>
      <i/>
      <sz val="10"/>
      <color theme="1" tint="0.249977111117893"/>
      <name val="Arial"/>
      <family val="2"/>
    </font>
    <font>
      <sz val="11"/>
      <color theme="1" tint="0.249977111117893"/>
      <name val="Calibri"/>
      <family val="2"/>
      <scheme val="minor"/>
    </font>
    <font>
      <b/>
      <sz val="16"/>
      <color rgb="FFFFFFFF"/>
      <name val="Arial"/>
      <family val="2"/>
    </font>
    <font>
      <b/>
      <sz val="10"/>
      <color rgb="FF2E6DBF"/>
      <name val="Arial"/>
      <family val="2"/>
    </font>
    <font>
      <b/>
      <sz val="9"/>
      <color rgb="FF155724"/>
      <name val="Arial"/>
      <family val="2"/>
    </font>
    <font>
      <b/>
      <sz val="9"/>
      <color rgb="FF004085"/>
      <name val="Arial"/>
      <family val="2"/>
    </font>
    <font>
      <b/>
      <sz val="9"/>
      <color rgb="FF383D41"/>
      <name val="Arial"/>
      <family val="2"/>
    </font>
    <font>
      <b/>
      <sz val="9"/>
      <color rgb="FF721C24"/>
      <name val="Arial"/>
      <family val="2"/>
    </font>
    <font>
      <b/>
      <sz val="9"/>
      <color rgb="FF1A56A0"/>
      <name val="Arial"/>
      <family val="2"/>
    </font>
    <font>
      <b/>
      <sz val="12"/>
      <color rgb="FF155724"/>
      <name val="Arial"/>
      <family val="2"/>
    </font>
    <font>
      <b/>
      <sz val="12"/>
      <color rgb="FF004085"/>
      <name val="Arial"/>
      <family val="2"/>
    </font>
    <font>
      <b/>
      <sz val="12"/>
      <color rgb="FF383D41"/>
      <name val="Arial"/>
      <family val="2"/>
    </font>
    <font>
      <b/>
      <sz val="12"/>
      <color rgb="FF721C24"/>
      <name val="Arial"/>
      <family val="2"/>
    </font>
    <font>
      <b/>
      <sz val="12"/>
      <color rgb="FF1A56A0"/>
      <name val="Arial"/>
      <family val="2"/>
    </font>
    <font>
      <b/>
      <sz val="10"/>
      <color theme="4" tint="-0.249977111117893"/>
      <name val="Arial"/>
      <family val="2"/>
    </font>
    <font>
      <sz val="11"/>
      <color theme="1"/>
      <name val="Calibri"/>
      <family val="2"/>
      <charset val="1"/>
    </font>
    <font>
      <sz val="10"/>
      <color rgb="FF1A1A1A"/>
      <name val="Arial"/>
      <charset val="1"/>
    </font>
    <font>
      <b/>
      <sz val="22"/>
      <color theme="0"/>
      <name val="Arial"/>
      <family val="2"/>
    </font>
    <font>
      <i/>
      <sz val="10"/>
      <color theme="1" tint="0.34998626667073579"/>
      <name val="Arial"/>
      <family val="2"/>
    </font>
    <font>
      <i/>
      <u/>
      <sz val="10"/>
      <color theme="4" tint="-0.249977111117893"/>
      <name val="Calibri"/>
      <family val="2"/>
      <scheme val="minor"/>
    </font>
  </fonts>
  <fills count="21">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rgb="FF2E6DBF"/>
        <bgColor rgb="FF1A56A0"/>
      </patternFill>
    </fill>
    <fill>
      <patternFill patternType="solid">
        <fgColor rgb="FF1A56A0"/>
        <bgColor rgb="FF2E6DBF"/>
      </patternFill>
    </fill>
    <fill>
      <patternFill patternType="solid">
        <fgColor rgb="FFEEF6FD"/>
        <bgColor rgb="FFF2F2F2"/>
      </patternFill>
    </fill>
    <fill>
      <patternFill patternType="solid">
        <fgColor rgb="FFFFFFFF"/>
        <bgColor rgb="FFF8F8F8"/>
      </patternFill>
    </fill>
    <fill>
      <patternFill patternType="solid">
        <fgColor rgb="FFD4EDDA"/>
        <bgColor rgb="FFD6E8F7"/>
      </patternFill>
    </fill>
    <fill>
      <patternFill patternType="solid">
        <fgColor rgb="FFF8F8F8"/>
        <bgColor rgb="FFEEF6FD"/>
      </patternFill>
    </fill>
    <fill>
      <patternFill patternType="solid">
        <fgColor rgb="FFCCE5FF"/>
        <bgColor rgb="FFD6E8F7"/>
      </patternFill>
    </fill>
    <fill>
      <patternFill patternType="solid">
        <fgColor rgb="FFE2E3E5"/>
        <bgColor rgb="FFD6E8F7"/>
      </patternFill>
    </fill>
    <fill>
      <patternFill patternType="solid">
        <fgColor rgb="FFF8D7DA"/>
        <bgColor rgb="FFE2E3E5"/>
      </patternFill>
    </fill>
    <fill>
      <patternFill patternType="solid">
        <fgColor rgb="FFFFF3CD"/>
        <bgColor rgb="FFF2F2F2"/>
      </patternFill>
    </fill>
    <fill>
      <patternFill patternType="solid">
        <fgColor rgb="FF0070C0"/>
        <bgColor rgb="FF1A56A0"/>
      </patternFill>
    </fill>
    <fill>
      <patternFill patternType="solid">
        <fgColor rgb="FF0070C0"/>
        <bgColor rgb="FF2E6DBF"/>
      </patternFill>
    </fill>
    <fill>
      <patternFill patternType="solid">
        <fgColor theme="0" tint="-4.9989318521683403E-2"/>
        <bgColor rgb="FFEEF6FD"/>
      </patternFill>
    </fill>
    <fill>
      <patternFill patternType="solid">
        <fgColor theme="0" tint="-4.9989318521683403E-2"/>
        <bgColor indexed="64"/>
      </patternFill>
    </fill>
    <fill>
      <patternFill patternType="solid">
        <fgColor rgb="FFD6E8F7"/>
        <bgColor rgb="FFCCE5FF"/>
      </patternFill>
    </fill>
    <fill>
      <patternFill patternType="solid">
        <fgColor theme="4" tint="0.59999389629810485"/>
        <bgColor rgb="FFF2F2F2"/>
      </patternFill>
    </fill>
    <fill>
      <patternFill patternType="solid">
        <fgColor theme="4" tint="0.59999389629810485"/>
        <bgColor rgb="FFEEF6FD"/>
      </patternFill>
    </fill>
  </fills>
  <borders count="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style="thin">
        <color rgb="FFBBBBBB"/>
      </left>
      <right style="thin">
        <color rgb="FFBBBBBB"/>
      </right>
      <top/>
      <bottom style="thin">
        <color rgb="FFBBBBBB"/>
      </bottom>
      <diagonal/>
    </border>
    <border>
      <left style="thin">
        <color rgb="FFBBBBBB"/>
      </left>
      <right/>
      <top/>
      <bottom/>
      <diagonal/>
    </border>
    <border>
      <left/>
      <right style="thin">
        <color theme="0" tint="-0.249977111117893"/>
      </right>
      <top/>
      <bottom/>
      <diagonal/>
    </border>
  </borders>
  <cellStyleXfs count="3">
    <xf numFmtId="0" fontId="0" fillId="0" borderId="0"/>
    <xf numFmtId="0" fontId="4" fillId="0" borderId="0" applyNumberFormat="0" applyFill="0" applyBorder="0" applyAlignment="0" applyProtection="0"/>
    <xf numFmtId="0" fontId="32" fillId="0" borderId="0"/>
  </cellStyleXfs>
  <cellXfs count="68">
    <xf numFmtId="0" fontId="0" fillId="0" borderId="0" xfId="0"/>
    <xf numFmtId="0" fontId="1" fillId="0" borderId="0" xfId="0" applyFont="1"/>
    <xf numFmtId="0" fontId="1" fillId="0" borderId="0" xfId="0" applyFont="1" applyAlignment="1">
      <alignment vertical="center" wrapText="1"/>
    </xf>
    <xf numFmtId="0" fontId="6" fillId="5" borderId="2"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2"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xf numFmtId="0" fontId="3" fillId="0" borderId="0" xfId="0" applyFont="1" applyFill="1" applyAlignment="1">
      <alignment vertical="center" wrapText="1"/>
    </xf>
    <xf numFmtId="0" fontId="1" fillId="0" borderId="0" xfId="0" applyFont="1" applyFill="1" applyBorder="1" applyAlignment="1">
      <alignment vertical="center" wrapText="1"/>
    </xf>
    <xf numFmtId="0" fontId="1" fillId="0" borderId="0" xfId="0" applyFont="1" applyFill="1" applyBorder="1" applyAlignment="1"/>
    <xf numFmtId="0" fontId="1" fillId="0" borderId="0" xfId="0" applyFont="1" applyFill="1" applyBorder="1"/>
    <xf numFmtId="0" fontId="10" fillId="8" borderId="2" xfId="0" applyFont="1" applyFill="1" applyBorder="1" applyAlignment="1">
      <alignment horizontal="left" vertical="center" wrapText="1"/>
    </xf>
    <xf numFmtId="0" fontId="12" fillId="10" borderId="2" xfId="0" applyFont="1" applyFill="1" applyBorder="1" applyAlignment="1">
      <alignment horizontal="left" vertical="center" wrapText="1"/>
    </xf>
    <xf numFmtId="0" fontId="13" fillId="11" borderId="2" xfId="0" applyFont="1" applyFill="1" applyBorder="1" applyAlignment="1">
      <alignment horizontal="left" vertical="center" wrapText="1"/>
    </xf>
    <xf numFmtId="0" fontId="14" fillId="12" borderId="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0" fillId="0" borderId="0" xfId="0" applyAlignment="1">
      <alignment horizontal="left"/>
    </xf>
    <xf numFmtId="0" fontId="7" fillId="6" borderId="4" xfId="0" applyFont="1" applyFill="1" applyBorder="1" applyAlignment="1">
      <alignment horizontal="left" vertical="center" wrapText="1"/>
    </xf>
    <xf numFmtId="0" fontId="7" fillId="6" borderId="1" xfId="0" applyFont="1" applyFill="1" applyBorder="1" applyAlignment="1">
      <alignment horizontal="left" vertical="center" wrapText="1"/>
    </xf>
    <xf numFmtId="0" fontId="18" fillId="0" borderId="0" xfId="0" applyFont="1"/>
    <xf numFmtId="0" fontId="0" fillId="5" borderId="0" xfId="0" applyFill="1"/>
    <xf numFmtId="0" fontId="21" fillId="8" borderId="0" xfId="0" applyFont="1" applyFill="1" applyAlignment="1">
      <alignment horizontal="center" vertical="center" wrapText="1"/>
    </xf>
    <xf numFmtId="0" fontId="22" fillId="10" borderId="0" xfId="0" applyFont="1" applyFill="1" applyAlignment="1">
      <alignment horizontal="center" vertical="center" wrapText="1"/>
    </xf>
    <xf numFmtId="0" fontId="23" fillId="11" borderId="0" xfId="0" applyFont="1" applyFill="1" applyAlignment="1">
      <alignment horizontal="center" vertical="center" wrapText="1"/>
    </xf>
    <xf numFmtId="0" fontId="24" fillId="12" borderId="0" xfId="0" applyFont="1" applyFill="1" applyAlignment="1">
      <alignment horizontal="center" vertical="center" wrapText="1"/>
    </xf>
    <xf numFmtId="0" fontId="25" fillId="18" borderId="0" xfId="0" applyFont="1" applyFill="1" applyAlignment="1">
      <alignment horizontal="center" vertical="center" wrapText="1"/>
    </xf>
    <xf numFmtId="0" fontId="26" fillId="8" borderId="2" xfId="0" applyFont="1" applyFill="1" applyBorder="1" applyAlignment="1">
      <alignment horizontal="center" vertical="center" wrapText="1"/>
    </xf>
    <xf numFmtId="0" fontId="27" fillId="10" borderId="2" xfId="0" applyFont="1" applyFill="1" applyBorder="1" applyAlignment="1">
      <alignment horizontal="center" vertical="center" wrapText="1"/>
    </xf>
    <xf numFmtId="0" fontId="28" fillId="11" borderId="2" xfId="0" applyFont="1" applyFill="1" applyBorder="1" applyAlignment="1">
      <alignment horizontal="center" vertical="center" wrapText="1"/>
    </xf>
    <xf numFmtId="0" fontId="29" fillId="12" borderId="2" xfId="0" applyFont="1" applyFill="1" applyBorder="1" applyAlignment="1">
      <alignment horizontal="center" vertical="center" wrapText="1"/>
    </xf>
    <xf numFmtId="0" fontId="30" fillId="18" borderId="2" xfId="0" applyFont="1" applyFill="1" applyBorder="1" applyAlignment="1">
      <alignment horizontal="center" vertical="center" wrapText="1"/>
    </xf>
    <xf numFmtId="0" fontId="31" fillId="19" borderId="1" xfId="0" applyFont="1" applyFill="1" applyBorder="1" applyAlignment="1">
      <alignment horizontal="right" vertical="center"/>
    </xf>
    <xf numFmtId="0" fontId="7" fillId="6" borderId="2" xfId="0" applyFont="1" applyFill="1" applyBorder="1" applyAlignment="1">
      <alignment vertical="top" wrapText="1"/>
    </xf>
    <xf numFmtId="0" fontId="8" fillId="18" borderId="2" xfId="0" applyFont="1" applyFill="1" applyBorder="1" applyAlignment="1">
      <alignment vertical="top" wrapText="1"/>
    </xf>
    <xf numFmtId="0" fontId="9" fillId="18" borderId="2" xfId="0" applyFont="1" applyFill="1" applyBorder="1" applyAlignment="1">
      <alignment vertical="top" wrapText="1"/>
    </xf>
    <xf numFmtId="0" fontId="13" fillId="11" borderId="2" xfId="0" applyFont="1" applyFill="1" applyBorder="1" applyAlignment="1">
      <alignment vertical="top" wrapText="1"/>
    </xf>
    <xf numFmtId="0" fontId="14" fillId="12" borderId="2" xfId="0" applyFont="1" applyFill="1" applyBorder="1" applyAlignment="1">
      <alignment vertical="top" wrapText="1"/>
    </xf>
    <xf numFmtId="0" fontId="11" fillId="18" borderId="2" xfId="0" applyFont="1" applyFill="1" applyBorder="1" applyAlignment="1">
      <alignment vertical="top" wrapText="1"/>
    </xf>
    <xf numFmtId="0" fontId="20" fillId="6" borderId="2" xfId="0" applyFont="1" applyFill="1" applyBorder="1" applyAlignment="1">
      <alignment vertical="top" wrapText="1"/>
    </xf>
    <xf numFmtId="0" fontId="8" fillId="7" borderId="2" xfId="0" applyFont="1" applyFill="1" applyBorder="1" applyAlignment="1">
      <alignment vertical="top" wrapText="1"/>
    </xf>
    <xf numFmtId="0" fontId="9" fillId="7" borderId="2" xfId="0" applyFont="1" applyFill="1" applyBorder="1" applyAlignment="1">
      <alignment vertical="top" wrapText="1"/>
    </xf>
    <xf numFmtId="0" fontId="11" fillId="7" borderId="2" xfId="0" applyFont="1" applyFill="1" applyBorder="1" applyAlignment="1">
      <alignment vertical="top" wrapText="1"/>
    </xf>
    <xf numFmtId="0" fontId="15" fillId="13" borderId="2" xfId="0" applyFont="1" applyFill="1" applyBorder="1" applyAlignment="1">
      <alignment vertical="top" wrapText="1"/>
    </xf>
    <xf numFmtId="0" fontId="6" fillId="15" borderId="1" xfId="0" applyFont="1" applyFill="1" applyBorder="1" applyAlignment="1">
      <alignment horizontal="left" vertical="center" wrapText="1"/>
    </xf>
    <xf numFmtId="0" fontId="17" fillId="16" borderId="1" xfId="0" applyFont="1" applyFill="1" applyBorder="1" applyAlignment="1">
      <alignment horizontal="left" vertical="center" wrapText="1"/>
    </xf>
    <xf numFmtId="0" fontId="17" fillId="16" borderId="4" xfId="0" applyFont="1" applyFill="1" applyBorder="1" applyAlignment="1">
      <alignment horizontal="left" vertical="center" wrapText="1"/>
    </xf>
    <xf numFmtId="0" fontId="17" fillId="16" borderId="2" xfId="0" applyFont="1" applyFill="1" applyBorder="1" applyAlignment="1">
      <alignment horizontal="left" vertical="center" wrapText="1"/>
    </xf>
    <xf numFmtId="0" fontId="16" fillId="9" borderId="3" xfId="0" applyFont="1" applyFill="1" applyBorder="1" applyAlignment="1">
      <alignment horizontal="left" vertical="center" wrapText="1"/>
    </xf>
    <xf numFmtId="0" fontId="5" fillId="4" borderId="0" xfId="0" applyFont="1" applyFill="1" applyBorder="1" applyAlignment="1">
      <alignment horizontal="center" vertical="center" wrapText="1"/>
    </xf>
    <xf numFmtId="0" fontId="5" fillId="14" borderId="0" xfId="0" applyFont="1" applyFill="1" applyBorder="1" applyAlignment="1">
      <alignment horizontal="center" vertical="center" wrapText="1"/>
    </xf>
    <xf numFmtId="0" fontId="6" fillId="5" borderId="0" xfId="0" applyFont="1" applyFill="1" applyBorder="1" applyAlignment="1">
      <alignment horizontal="center" vertical="center" wrapText="1"/>
    </xf>
    <xf numFmtId="0" fontId="6" fillId="4" borderId="0" xfId="0" applyFont="1" applyFill="1" applyBorder="1" applyAlignment="1">
      <alignment horizontal="center" vertical="center" wrapText="1"/>
    </xf>
    <xf numFmtId="0" fontId="31" fillId="20" borderId="1" xfId="0" applyFont="1" applyFill="1" applyBorder="1" applyAlignment="1">
      <alignment horizontal="center" vertical="center"/>
    </xf>
    <xf numFmtId="0" fontId="31" fillId="19" borderId="1" xfId="0" applyFont="1" applyFill="1" applyBorder="1" applyAlignment="1">
      <alignment horizontal="left" vertical="center"/>
    </xf>
    <xf numFmtId="0" fontId="31" fillId="19" borderId="5" xfId="0" applyFont="1" applyFill="1" applyBorder="1" applyAlignment="1">
      <alignment horizontal="center" vertical="center"/>
    </xf>
    <xf numFmtId="0" fontId="31" fillId="19" borderId="0" xfId="0" applyFont="1" applyFill="1" applyBorder="1" applyAlignment="1">
      <alignment horizontal="center" vertical="center"/>
    </xf>
    <xf numFmtId="0" fontId="31" fillId="19" borderId="6" xfId="0" applyFont="1" applyFill="1" applyBorder="1" applyAlignment="1">
      <alignment horizontal="center" vertical="center"/>
    </xf>
    <xf numFmtId="0" fontId="6" fillId="4" borderId="0" xfId="0" applyFont="1" applyFill="1" applyBorder="1" applyAlignment="1">
      <alignment vertical="center" wrapText="1"/>
    </xf>
    <xf numFmtId="0" fontId="33" fillId="7" borderId="2" xfId="2" applyFont="1" applyFill="1" applyBorder="1" applyAlignment="1">
      <alignment horizontal="center" vertical="center" wrapText="1"/>
    </xf>
    <xf numFmtId="0" fontId="34" fillId="2" borderId="0" xfId="0" applyFont="1" applyFill="1" applyAlignment="1">
      <alignment horizontal="center" vertical="center" wrapText="1"/>
    </xf>
    <xf numFmtId="0" fontId="6" fillId="15"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31" fillId="3" borderId="1" xfId="0" applyFont="1" applyFill="1" applyBorder="1" applyAlignment="1">
      <alignment horizontal="left"/>
    </xf>
    <xf numFmtId="0" fontId="35" fillId="17" borderId="1" xfId="0" applyFont="1" applyFill="1" applyBorder="1" applyAlignment="1">
      <alignment horizontal="left"/>
    </xf>
    <xf numFmtId="0" fontId="36" fillId="17" borderId="1" xfId="1" applyFont="1" applyFill="1" applyBorder="1" applyAlignment="1">
      <alignment horizontal="left"/>
    </xf>
    <xf numFmtId="0" fontId="19" fillId="15" borderId="0" xfId="0" applyFont="1" applyFill="1" applyBorder="1" applyAlignment="1">
      <alignment horizontal="center" vertical="center" wrapText="1"/>
    </xf>
    <xf numFmtId="49" fontId="35" fillId="17" borderId="1" xfId="0" applyNumberFormat="1" applyFont="1" applyFill="1" applyBorder="1" applyAlignment="1">
      <alignment horizontal="left"/>
    </xf>
  </cellXfs>
  <cellStyles count="3">
    <cellStyle name="Hipervínculo"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dinogamboa111/Taller-Programac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showGridLines="0" tabSelected="1" workbookViewId="0">
      <selection activeCell="I14" sqref="I14"/>
    </sheetView>
  </sheetViews>
  <sheetFormatPr baseColWidth="10" defaultRowHeight="14.25" x14ac:dyDescent="0.2"/>
  <cols>
    <col min="1" max="1" width="2.140625" style="1" customWidth="1"/>
    <col min="2" max="2" width="25.42578125" style="1" customWidth="1"/>
    <col min="3" max="3" width="27" style="1" customWidth="1"/>
    <col min="4" max="4" width="11.42578125" style="1"/>
    <col min="5" max="5" width="72.7109375" style="1" customWidth="1"/>
    <col min="6" max="6" width="1.42578125" style="1" customWidth="1"/>
    <col min="7" max="16384" width="11.42578125" style="1"/>
  </cols>
  <sheetData>
    <row r="1" spans="1:15" ht="14.25" customHeight="1" x14ac:dyDescent="0.2">
      <c r="A1" s="60" t="s">
        <v>0</v>
      </c>
      <c r="B1" s="60"/>
      <c r="C1" s="60"/>
      <c r="D1" s="60"/>
      <c r="E1" s="60"/>
      <c r="F1" s="60"/>
      <c r="G1" s="5"/>
      <c r="H1" s="5"/>
      <c r="I1" s="5"/>
      <c r="J1" s="5"/>
      <c r="K1" s="5"/>
      <c r="L1" s="5"/>
      <c r="M1" s="6"/>
      <c r="N1" s="7"/>
      <c r="O1" s="7"/>
    </row>
    <row r="2" spans="1:15" ht="14.25" customHeight="1" x14ac:dyDescent="0.2">
      <c r="A2" s="60"/>
      <c r="B2" s="60"/>
      <c r="C2" s="60"/>
      <c r="D2" s="60"/>
      <c r="E2" s="60"/>
      <c r="F2" s="60"/>
      <c r="G2" s="5"/>
      <c r="H2" s="5"/>
      <c r="I2" s="5"/>
      <c r="J2" s="5"/>
      <c r="K2" s="5"/>
      <c r="L2" s="5"/>
      <c r="M2" s="6"/>
      <c r="N2" s="7"/>
      <c r="O2" s="7"/>
    </row>
    <row r="3" spans="1:15" ht="14.25" customHeight="1" x14ac:dyDescent="0.2">
      <c r="A3" s="60"/>
      <c r="B3" s="60"/>
      <c r="C3" s="60"/>
      <c r="D3" s="60"/>
      <c r="E3" s="60"/>
      <c r="F3" s="60"/>
      <c r="G3" s="5"/>
      <c r="H3" s="5"/>
      <c r="I3" s="5"/>
      <c r="J3" s="5"/>
      <c r="K3" s="5"/>
      <c r="L3" s="5"/>
      <c r="M3" s="6"/>
      <c r="N3" s="7"/>
      <c r="O3" s="7"/>
    </row>
    <row r="4" spans="1:15" ht="14.25" customHeight="1" x14ac:dyDescent="0.2">
      <c r="A4" s="60"/>
      <c r="B4" s="60"/>
      <c r="C4" s="60"/>
      <c r="D4" s="60"/>
      <c r="E4" s="60"/>
      <c r="F4" s="60"/>
      <c r="G4" s="8"/>
      <c r="H4" s="8"/>
      <c r="I4" s="8"/>
      <c r="J4" s="8"/>
      <c r="K4" s="8"/>
      <c r="L4" s="8"/>
      <c r="M4" s="6"/>
      <c r="N4" s="7"/>
      <c r="O4" s="7"/>
    </row>
    <row r="5" spans="1:15" x14ac:dyDescent="0.2">
      <c r="A5" s="2"/>
      <c r="B5" s="2"/>
      <c r="C5" s="2"/>
      <c r="D5" s="2"/>
      <c r="E5" s="2"/>
      <c r="F5" s="9"/>
      <c r="G5" s="9"/>
      <c r="H5" s="9"/>
      <c r="I5" s="9"/>
      <c r="J5" s="9"/>
      <c r="K5" s="9"/>
      <c r="L5" s="9"/>
      <c r="M5" s="9"/>
      <c r="N5" s="7"/>
      <c r="O5" s="7"/>
    </row>
    <row r="6" spans="1:15" ht="25.5" customHeight="1" x14ac:dyDescent="0.2">
      <c r="B6" s="63" t="s">
        <v>1</v>
      </c>
      <c r="C6" s="64" t="s">
        <v>2</v>
      </c>
      <c r="D6" s="64"/>
      <c r="E6" s="64"/>
      <c r="F6" s="10"/>
      <c r="G6" s="10"/>
      <c r="H6" s="10"/>
      <c r="I6" s="10"/>
      <c r="J6" s="10"/>
      <c r="K6" s="10"/>
      <c r="L6" s="10"/>
      <c r="M6" s="11"/>
      <c r="N6" s="7"/>
      <c r="O6" s="7"/>
    </row>
    <row r="7" spans="1:15" ht="25.5" customHeight="1" x14ac:dyDescent="0.2">
      <c r="B7" s="63" t="s">
        <v>3</v>
      </c>
      <c r="C7" s="64" t="s">
        <v>4</v>
      </c>
      <c r="D7" s="64"/>
      <c r="E7" s="64"/>
      <c r="F7" s="10"/>
      <c r="G7" s="10"/>
      <c r="H7" s="10"/>
      <c r="I7" s="10"/>
      <c r="J7" s="10"/>
      <c r="K7" s="10"/>
      <c r="L7" s="10"/>
      <c r="M7" s="11"/>
      <c r="N7" s="7"/>
      <c r="O7" s="7"/>
    </row>
    <row r="8" spans="1:15" ht="25.5" customHeight="1" x14ac:dyDescent="0.2">
      <c r="B8" s="63" t="s">
        <v>5</v>
      </c>
      <c r="C8" s="64" t="s">
        <v>6</v>
      </c>
      <c r="D8" s="64"/>
      <c r="E8" s="64"/>
      <c r="F8" s="10"/>
      <c r="G8" s="10"/>
      <c r="H8" s="10"/>
      <c r="I8" s="10"/>
      <c r="J8" s="10"/>
      <c r="K8" s="10"/>
      <c r="L8" s="10"/>
      <c r="M8" s="11"/>
      <c r="N8" s="7"/>
      <c r="O8" s="7"/>
    </row>
    <row r="9" spans="1:15" ht="25.5" customHeight="1" x14ac:dyDescent="0.2">
      <c r="B9" s="63" t="s">
        <v>7</v>
      </c>
      <c r="C9" s="67" t="s">
        <v>256</v>
      </c>
      <c r="D9" s="67"/>
      <c r="E9" s="67"/>
      <c r="F9" s="10"/>
      <c r="G9" s="10"/>
      <c r="H9" s="10"/>
      <c r="I9" s="10"/>
      <c r="J9" s="10"/>
      <c r="K9" s="10"/>
      <c r="L9" s="10"/>
      <c r="M9" s="11"/>
      <c r="N9" s="7"/>
      <c r="O9" s="7"/>
    </row>
    <row r="10" spans="1:15" ht="25.5" customHeight="1" x14ac:dyDescent="0.2">
      <c r="B10" s="63" t="s">
        <v>8</v>
      </c>
      <c r="C10" s="64" t="s">
        <v>9</v>
      </c>
      <c r="D10" s="64"/>
      <c r="E10" s="64"/>
      <c r="F10" s="10"/>
      <c r="G10" s="10"/>
      <c r="H10" s="10"/>
      <c r="I10" s="10"/>
      <c r="J10" s="10"/>
      <c r="K10" s="10"/>
      <c r="L10" s="10"/>
      <c r="M10" s="11"/>
      <c r="N10" s="7"/>
      <c r="O10" s="7"/>
    </row>
    <row r="11" spans="1:15" ht="25.5" customHeight="1" x14ac:dyDescent="0.2">
      <c r="B11" s="63" t="s">
        <v>10</v>
      </c>
      <c r="C11" s="65" t="s">
        <v>11</v>
      </c>
      <c r="D11" s="65"/>
      <c r="E11" s="65"/>
      <c r="F11" s="10"/>
      <c r="G11" s="10"/>
      <c r="H11" s="10"/>
      <c r="I11" s="10"/>
      <c r="J11" s="10"/>
      <c r="K11" s="10"/>
      <c r="L11" s="10"/>
      <c r="M11" s="11"/>
      <c r="N11" s="7"/>
      <c r="O11" s="7"/>
    </row>
    <row r="12" spans="1:15" x14ac:dyDescent="0.2">
      <c r="F12" s="11"/>
      <c r="G12" s="11"/>
      <c r="H12" s="11"/>
      <c r="I12" s="11"/>
      <c r="J12" s="11"/>
      <c r="K12" s="11"/>
      <c r="L12" s="11"/>
      <c r="M12" s="11"/>
      <c r="N12" s="7"/>
      <c r="O12" s="7"/>
    </row>
    <row r="13" spans="1:15" ht="25.5" customHeight="1" x14ac:dyDescent="0.2">
      <c r="B13" s="50" t="s">
        <v>12</v>
      </c>
      <c r="C13" s="50"/>
      <c r="D13" s="50"/>
      <c r="E13" s="50"/>
      <c r="G13" s="7"/>
      <c r="H13" s="7"/>
      <c r="I13" s="7"/>
      <c r="J13" s="7"/>
      <c r="K13" s="7"/>
      <c r="L13" s="7"/>
      <c r="M13" s="7"/>
      <c r="N13" s="7"/>
      <c r="O13" s="7"/>
    </row>
    <row r="14" spans="1:15" ht="25.5" customHeight="1" x14ac:dyDescent="0.2">
      <c r="B14" s="44" t="s">
        <v>13</v>
      </c>
      <c r="C14" s="61" t="s">
        <v>14</v>
      </c>
      <c r="D14" s="62" t="s">
        <v>15</v>
      </c>
      <c r="E14" s="62"/>
      <c r="G14" s="7"/>
      <c r="H14" s="7"/>
      <c r="I14" s="7"/>
      <c r="J14" s="7"/>
      <c r="K14" s="7"/>
      <c r="L14" s="7"/>
      <c r="M14" s="7"/>
      <c r="N14" s="7"/>
      <c r="O14" s="7"/>
    </row>
    <row r="15" spans="1:15" ht="25.5" customHeight="1" x14ac:dyDescent="0.2">
      <c r="B15" s="19" t="s">
        <v>16</v>
      </c>
      <c r="C15" s="59">
        <v>24</v>
      </c>
      <c r="D15" s="45" t="s">
        <v>17</v>
      </c>
      <c r="E15" s="45"/>
    </row>
    <row r="16" spans="1:15" ht="25.5" customHeight="1" x14ac:dyDescent="0.2">
      <c r="B16" s="18" t="s">
        <v>45</v>
      </c>
      <c r="C16" s="59">
        <v>0</v>
      </c>
      <c r="D16" s="46" t="s">
        <v>18</v>
      </c>
      <c r="E16" s="46"/>
    </row>
    <row r="17" spans="2:5" ht="25.5" customHeight="1" x14ac:dyDescent="0.2">
      <c r="B17" s="4" t="s">
        <v>46</v>
      </c>
      <c r="C17" s="59">
        <v>0</v>
      </c>
      <c r="D17" s="47" t="s">
        <v>19</v>
      </c>
      <c r="E17" s="47"/>
    </row>
    <row r="18" spans="2:5" ht="25.5" customHeight="1" x14ac:dyDescent="0.2">
      <c r="B18" s="4" t="s">
        <v>47</v>
      </c>
      <c r="C18" s="59">
        <v>0</v>
      </c>
      <c r="D18" s="47" t="s">
        <v>20</v>
      </c>
      <c r="E18" s="47"/>
    </row>
    <row r="19" spans="2:5" ht="25.5" customHeight="1" x14ac:dyDescent="0.2">
      <c r="B19" s="4" t="s">
        <v>48</v>
      </c>
      <c r="C19" s="59">
        <v>0</v>
      </c>
      <c r="D19" s="47" t="s">
        <v>21</v>
      </c>
      <c r="E19" s="47"/>
    </row>
    <row r="20" spans="2:5" ht="25.5" customHeight="1" x14ac:dyDescent="0.2">
      <c r="B20" s="4" t="s">
        <v>22</v>
      </c>
      <c r="C20" s="59" t="s">
        <v>254</v>
      </c>
      <c r="D20" s="47" t="s">
        <v>23</v>
      </c>
      <c r="E20" s="47"/>
    </row>
    <row r="21" spans="2:5" ht="25.5" customHeight="1" x14ac:dyDescent="0.2">
      <c r="B21" s="4" t="s">
        <v>24</v>
      </c>
      <c r="C21" s="59">
        <v>0</v>
      </c>
      <c r="D21" s="47" t="s">
        <v>25</v>
      </c>
      <c r="E21" s="47"/>
    </row>
    <row r="22" spans="2:5" ht="25.5" customHeight="1" x14ac:dyDescent="0.2">
      <c r="B22" s="4" t="s">
        <v>26</v>
      </c>
      <c r="C22" s="59">
        <v>0</v>
      </c>
      <c r="D22" s="47" t="s">
        <v>27</v>
      </c>
      <c r="E22" s="47"/>
    </row>
    <row r="23" spans="2:5" ht="15" x14ac:dyDescent="0.25">
      <c r="B23"/>
      <c r="C23"/>
      <c r="D23"/>
      <c r="E23"/>
    </row>
    <row r="24" spans="2:5" ht="22.5" customHeight="1" x14ac:dyDescent="0.2">
      <c r="B24" s="49" t="s">
        <v>28</v>
      </c>
      <c r="C24" s="49"/>
      <c r="D24" s="49"/>
      <c r="E24" s="49"/>
    </row>
    <row r="25" spans="2:5" ht="25.5" customHeight="1" x14ac:dyDescent="0.2">
      <c r="B25" s="12" t="s">
        <v>37</v>
      </c>
      <c r="C25" s="48" t="s">
        <v>29</v>
      </c>
      <c r="D25" s="48"/>
      <c r="E25" s="48"/>
    </row>
    <row r="26" spans="2:5" ht="25.5" customHeight="1" x14ac:dyDescent="0.2">
      <c r="B26" s="13" t="s">
        <v>38</v>
      </c>
      <c r="C26" s="48" t="s">
        <v>30</v>
      </c>
      <c r="D26" s="48"/>
      <c r="E26" s="48"/>
    </row>
    <row r="27" spans="2:5" ht="25.5" customHeight="1" x14ac:dyDescent="0.2">
      <c r="B27" s="14" t="s">
        <v>39</v>
      </c>
      <c r="C27" s="48" t="s">
        <v>31</v>
      </c>
      <c r="D27" s="48"/>
      <c r="E27" s="48"/>
    </row>
    <row r="28" spans="2:5" ht="25.5" customHeight="1" x14ac:dyDescent="0.2">
      <c r="B28" s="15" t="s">
        <v>40</v>
      </c>
      <c r="C28" s="48" t="s">
        <v>32</v>
      </c>
      <c r="D28" s="48"/>
      <c r="E28" s="48"/>
    </row>
    <row r="29" spans="2:5" ht="25.5" customHeight="1" x14ac:dyDescent="0.2">
      <c r="B29" s="16" t="s">
        <v>41</v>
      </c>
      <c r="C29" s="48" t="s">
        <v>33</v>
      </c>
      <c r="D29" s="48"/>
      <c r="E29" s="48"/>
    </row>
    <row r="30" spans="2:5" ht="25.5" customHeight="1" x14ac:dyDescent="0.25">
      <c r="B30" s="17"/>
      <c r="C30" s="20"/>
      <c r="D30" s="20"/>
      <c r="E30" s="20"/>
    </row>
    <row r="31" spans="2:5" ht="25.5" customHeight="1" x14ac:dyDescent="0.2">
      <c r="B31" s="15" t="s">
        <v>42</v>
      </c>
      <c r="C31" s="48" t="s">
        <v>34</v>
      </c>
      <c r="D31" s="48"/>
      <c r="E31" s="48"/>
    </row>
    <row r="32" spans="2:5" ht="25.5" customHeight="1" x14ac:dyDescent="0.2">
      <c r="B32" s="16" t="s">
        <v>43</v>
      </c>
      <c r="C32" s="48" t="s">
        <v>35</v>
      </c>
      <c r="D32" s="48"/>
      <c r="E32" s="48"/>
    </row>
    <row r="33" spans="2:5" ht="25.5" customHeight="1" x14ac:dyDescent="0.2">
      <c r="B33" s="12" t="s">
        <v>44</v>
      </c>
      <c r="C33" s="48" t="s">
        <v>36</v>
      </c>
      <c r="D33" s="48"/>
      <c r="E33" s="48"/>
    </row>
  </sheetData>
  <mergeCells count="26">
    <mergeCell ref="D16:E16"/>
    <mergeCell ref="D17:E17"/>
    <mergeCell ref="D18:E18"/>
    <mergeCell ref="D19:E19"/>
    <mergeCell ref="C33:E33"/>
    <mergeCell ref="D20:E20"/>
    <mergeCell ref="D21:E21"/>
    <mergeCell ref="D22:E22"/>
    <mergeCell ref="B24:E24"/>
    <mergeCell ref="C25:E25"/>
    <mergeCell ref="C26:E26"/>
    <mergeCell ref="C27:E27"/>
    <mergeCell ref="C28:E28"/>
    <mergeCell ref="C29:E29"/>
    <mergeCell ref="C31:E31"/>
    <mergeCell ref="C32:E32"/>
    <mergeCell ref="A1:F4"/>
    <mergeCell ref="C6:E6"/>
    <mergeCell ref="C7:E7"/>
    <mergeCell ref="D15:E15"/>
    <mergeCell ref="C8:E8"/>
    <mergeCell ref="C9:E9"/>
    <mergeCell ref="C10:E10"/>
    <mergeCell ref="C11:E11"/>
    <mergeCell ref="D14:E14"/>
    <mergeCell ref="B13:E13"/>
  </mergeCells>
  <hyperlinks>
    <hyperlink ref="C11"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showGridLines="0" topLeftCell="E1" workbookViewId="0">
      <pane ySplit="7" topLeftCell="A38" activePane="bottomLeft" state="frozen"/>
      <selection pane="bottomLeft" activeCell="F6" sqref="F6"/>
    </sheetView>
  </sheetViews>
  <sheetFormatPr baseColWidth="10" defaultColWidth="8.7109375" defaultRowHeight="15" x14ac:dyDescent="0.25"/>
  <cols>
    <col min="1" max="1" width="1.5703125" customWidth="1"/>
    <col min="2" max="2" width="5.42578125" customWidth="1"/>
    <col min="3" max="3" width="9.140625" customWidth="1"/>
    <col min="4" max="4" width="17" customWidth="1"/>
    <col min="5" max="5" width="28" customWidth="1"/>
    <col min="6" max="6" width="25.28515625" customWidth="1"/>
    <col min="7" max="7" width="25" customWidth="1"/>
    <col min="8" max="8" width="42.85546875" customWidth="1"/>
    <col min="9" max="9" width="36.85546875" customWidth="1"/>
    <col min="10" max="10" width="25" customWidth="1"/>
    <col min="11" max="11" width="11" customWidth="1"/>
    <col min="12" max="12" width="10" customWidth="1"/>
    <col min="13" max="13" width="18" customWidth="1"/>
    <col min="14" max="14" width="15" customWidth="1"/>
    <col min="15" max="15" width="14" customWidth="1"/>
  </cols>
  <sheetData>
    <row r="1" spans="1:15" x14ac:dyDescent="0.25">
      <c r="A1" s="21"/>
      <c r="B1" s="66" t="s">
        <v>49</v>
      </c>
      <c r="C1" s="66"/>
      <c r="D1" s="66"/>
      <c r="E1" s="66"/>
      <c r="F1" s="66"/>
      <c r="G1" s="66"/>
      <c r="H1" s="66"/>
      <c r="I1" s="66"/>
      <c r="J1" s="66"/>
      <c r="K1" s="66"/>
      <c r="L1" s="66"/>
      <c r="M1" s="66"/>
      <c r="N1" s="66"/>
      <c r="O1" s="66"/>
    </row>
    <row r="2" spans="1:15" ht="27.75" customHeight="1" x14ac:dyDescent="0.25">
      <c r="A2" s="21"/>
      <c r="B2" s="66"/>
      <c r="C2" s="66"/>
      <c r="D2" s="66"/>
      <c r="E2" s="66"/>
      <c r="F2" s="66"/>
      <c r="G2" s="66"/>
      <c r="H2" s="66"/>
      <c r="I2" s="66"/>
      <c r="J2" s="66"/>
      <c r="K2" s="66"/>
      <c r="L2" s="66"/>
      <c r="M2" s="66"/>
      <c r="N2" s="66"/>
      <c r="O2" s="66"/>
    </row>
    <row r="3" spans="1:15" ht="9.75" customHeight="1" x14ac:dyDescent="0.25">
      <c r="A3" s="21"/>
      <c r="B3" s="66"/>
      <c r="C3" s="66"/>
      <c r="D3" s="66"/>
      <c r="E3" s="66"/>
      <c r="F3" s="66"/>
      <c r="G3" s="66"/>
      <c r="H3" s="66"/>
      <c r="I3" s="66"/>
      <c r="J3" s="66"/>
      <c r="K3" s="66"/>
      <c r="L3" s="66"/>
      <c r="M3" s="66"/>
      <c r="N3" s="66"/>
      <c r="O3" s="66"/>
    </row>
    <row r="4" spans="1:15" ht="7.5" customHeight="1" x14ac:dyDescent="0.25">
      <c r="A4" s="21"/>
      <c r="B4" s="66"/>
      <c r="C4" s="66"/>
      <c r="D4" s="66"/>
      <c r="E4" s="66"/>
      <c r="F4" s="66"/>
      <c r="G4" s="66"/>
      <c r="H4" s="66"/>
      <c r="I4" s="66"/>
      <c r="J4" s="66"/>
      <c r="K4" s="66"/>
      <c r="L4" s="66"/>
      <c r="M4" s="66"/>
      <c r="N4" s="66"/>
      <c r="O4" s="66"/>
    </row>
    <row r="5" spans="1:15" ht="18" customHeight="1" x14ac:dyDescent="0.25">
      <c r="B5" s="55" t="s">
        <v>250</v>
      </c>
      <c r="C5" s="56"/>
      <c r="D5" s="56"/>
      <c r="E5" s="57"/>
      <c r="F5" s="53" t="s">
        <v>255</v>
      </c>
      <c r="G5" s="53"/>
      <c r="H5" s="32" t="s">
        <v>252</v>
      </c>
      <c r="I5" s="54" t="s">
        <v>251</v>
      </c>
      <c r="J5" s="54"/>
      <c r="K5" s="54"/>
      <c r="L5" s="54"/>
      <c r="M5" s="54"/>
      <c r="N5" s="54"/>
      <c r="O5" s="54"/>
    </row>
    <row r="6" spans="1:15" ht="7.5" customHeight="1" x14ac:dyDescent="0.25"/>
    <row r="7" spans="1:15" ht="13.5" customHeight="1" x14ac:dyDescent="0.25">
      <c r="B7" s="52" t="s">
        <v>50</v>
      </c>
      <c r="C7" s="52"/>
      <c r="D7" s="52"/>
      <c r="E7" s="52"/>
      <c r="F7" s="52"/>
      <c r="G7" s="52"/>
      <c r="H7" s="52"/>
      <c r="I7" s="52"/>
      <c r="J7" s="52"/>
      <c r="K7" s="52"/>
      <c r="L7" s="52"/>
      <c r="M7" s="52"/>
      <c r="N7" s="52"/>
      <c r="O7" s="52"/>
    </row>
    <row r="8" spans="1:15" ht="30" customHeight="1" x14ac:dyDescent="0.25">
      <c r="B8" s="3" t="s">
        <v>51</v>
      </c>
      <c r="C8" s="3" t="s">
        <v>253</v>
      </c>
      <c r="D8" s="3" t="s">
        <v>52</v>
      </c>
      <c r="E8" s="3" t="s">
        <v>53</v>
      </c>
      <c r="F8" s="3" t="s">
        <v>54</v>
      </c>
      <c r="G8" s="3" t="s">
        <v>55</v>
      </c>
      <c r="H8" s="3" t="s">
        <v>56</v>
      </c>
      <c r="I8" s="3" t="s">
        <v>57</v>
      </c>
      <c r="J8" s="3" t="s">
        <v>58</v>
      </c>
      <c r="K8" s="3" t="s">
        <v>59</v>
      </c>
      <c r="L8" s="3" t="s">
        <v>60</v>
      </c>
      <c r="M8" s="3" t="s">
        <v>61</v>
      </c>
      <c r="N8" s="3" t="s">
        <v>62</v>
      </c>
      <c r="O8" s="3" t="s">
        <v>63</v>
      </c>
    </row>
    <row r="9" spans="1:15" ht="76.5" x14ac:dyDescent="0.25">
      <c r="B9" s="33" t="s">
        <v>64</v>
      </c>
      <c r="C9" s="33" t="s">
        <v>65</v>
      </c>
      <c r="D9" s="34" t="s">
        <v>66</v>
      </c>
      <c r="E9" s="34" t="s">
        <v>67</v>
      </c>
      <c r="F9" s="34" t="s">
        <v>68</v>
      </c>
      <c r="G9" s="34" t="s">
        <v>69</v>
      </c>
      <c r="H9" s="34" t="s">
        <v>70</v>
      </c>
      <c r="I9" s="34" t="s">
        <v>71</v>
      </c>
      <c r="J9" s="35"/>
      <c r="K9" s="36" t="s">
        <v>39</v>
      </c>
      <c r="L9" s="37" t="s">
        <v>72</v>
      </c>
      <c r="M9" s="38" t="s">
        <v>73</v>
      </c>
      <c r="N9" s="34" t="s">
        <v>74</v>
      </c>
      <c r="O9" s="39" t="s">
        <v>75</v>
      </c>
    </row>
    <row r="10" spans="1:15" ht="63.75" x14ac:dyDescent="0.25">
      <c r="B10" s="33" t="s">
        <v>76</v>
      </c>
      <c r="C10" s="33" t="s">
        <v>77</v>
      </c>
      <c r="D10" s="40" t="s">
        <v>66</v>
      </c>
      <c r="E10" s="40" t="s">
        <v>78</v>
      </c>
      <c r="F10" s="40" t="s">
        <v>79</v>
      </c>
      <c r="G10" s="40" t="s">
        <v>80</v>
      </c>
      <c r="H10" s="40" t="s">
        <v>81</v>
      </c>
      <c r="I10" s="40" t="s">
        <v>82</v>
      </c>
      <c r="J10" s="41"/>
      <c r="K10" s="36" t="s">
        <v>39</v>
      </c>
      <c r="L10" s="37" t="s">
        <v>72</v>
      </c>
      <c r="M10" s="42" t="s">
        <v>73</v>
      </c>
      <c r="N10" s="40" t="s">
        <v>74</v>
      </c>
      <c r="O10" s="39" t="s">
        <v>75</v>
      </c>
    </row>
    <row r="11" spans="1:15" ht="51" x14ac:dyDescent="0.25">
      <c r="B11" s="33" t="s">
        <v>83</v>
      </c>
      <c r="C11" s="33" t="s">
        <v>84</v>
      </c>
      <c r="D11" s="34" t="s">
        <v>66</v>
      </c>
      <c r="E11" s="34" t="s">
        <v>85</v>
      </c>
      <c r="F11" s="34" t="s">
        <v>86</v>
      </c>
      <c r="G11" s="34" t="s">
        <v>87</v>
      </c>
      <c r="H11" s="34" t="s">
        <v>88</v>
      </c>
      <c r="I11" s="34" t="s">
        <v>89</v>
      </c>
      <c r="J11" s="35"/>
      <c r="K11" s="36" t="s">
        <v>39</v>
      </c>
      <c r="L11" s="37" t="s">
        <v>72</v>
      </c>
      <c r="M11" s="38" t="s">
        <v>73</v>
      </c>
      <c r="N11" s="34" t="s">
        <v>74</v>
      </c>
      <c r="O11" s="39" t="s">
        <v>75</v>
      </c>
    </row>
    <row r="12" spans="1:15" ht="89.25" x14ac:dyDescent="0.25">
      <c r="B12" s="33" t="s">
        <v>90</v>
      </c>
      <c r="C12" s="33" t="s">
        <v>91</v>
      </c>
      <c r="D12" s="40" t="s">
        <v>66</v>
      </c>
      <c r="E12" s="40" t="s">
        <v>92</v>
      </c>
      <c r="F12" s="40" t="s">
        <v>93</v>
      </c>
      <c r="G12" s="40" t="s">
        <v>94</v>
      </c>
      <c r="H12" s="40" t="s">
        <v>95</v>
      </c>
      <c r="I12" s="40" t="s">
        <v>96</v>
      </c>
      <c r="J12" s="41"/>
      <c r="K12" s="36" t="s">
        <v>39</v>
      </c>
      <c r="L12" s="37" t="s">
        <v>72</v>
      </c>
      <c r="M12" s="42" t="s">
        <v>97</v>
      </c>
      <c r="N12" s="40" t="s">
        <v>98</v>
      </c>
      <c r="O12" s="39" t="s">
        <v>75</v>
      </c>
    </row>
    <row r="13" spans="1:15" ht="76.5" x14ac:dyDescent="0.25">
      <c r="B13" s="33" t="s">
        <v>99</v>
      </c>
      <c r="C13" s="33" t="s">
        <v>100</v>
      </c>
      <c r="D13" s="34" t="s">
        <v>101</v>
      </c>
      <c r="E13" s="34" t="s">
        <v>102</v>
      </c>
      <c r="F13" s="34" t="s">
        <v>103</v>
      </c>
      <c r="G13" s="34" t="s">
        <v>104</v>
      </c>
      <c r="H13" s="34" t="s">
        <v>105</v>
      </c>
      <c r="I13" s="34" t="s">
        <v>106</v>
      </c>
      <c r="J13" s="35"/>
      <c r="K13" s="36" t="s">
        <v>39</v>
      </c>
      <c r="L13" s="37" t="s">
        <v>72</v>
      </c>
      <c r="M13" s="38" t="s">
        <v>97</v>
      </c>
      <c r="N13" s="34" t="s">
        <v>98</v>
      </c>
      <c r="O13" s="39" t="s">
        <v>75</v>
      </c>
    </row>
    <row r="14" spans="1:15" ht="63.75" x14ac:dyDescent="0.25">
      <c r="B14" s="33" t="s">
        <v>107</v>
      </c>
      <c r="C14" s="33" t="s">
        <v>108</v>
      </c>
      <c r="D14" s="40" t="s">
        <v>101</v>
      </c>
      <c r="E14" s="40" t="s">
        <v>109</v>
      </c>
      <c r="F14" s="40" t="s">
        <v>110</v>
      </c>
      <c r="G14" s="40" t="s">
        <v>111</v>
      </c>
      <c r="H14" s="40" t="s">
        <v>112</v>
      </c>
      <c r="I14" s="40" t="s">
        <v>113</v>
      </c>
      <c r="J14" s="41"/>
      <c r="K14" s="36" t="s">
        <v>39</v>
      </c>
      <c r="L14" s="37" t="s">
        <v>72</v>
      </c>
      <c r="M14" s="42" t="s">
        <v>114</v>
      </c>
      <c r="N14" s="40" t="s">
        <v>98</v>
      </c>
      <c r="O14" s="39" t="s">
        <v>75</v>
      </c>
    </row>
    <row r="15" spans="1:15" ht="63.75" x14ac:dyDescent="0.25">
      <c r="B15" s="33" t="s">
        <v>115</v>
      </c>
      <c r="C15" s="33" t="s">
        <v>116</v>
      </c>
      <c r="D15" s="34" t="s">
        <v>117</v>
      </c>
      <c r="E15" s="34" t="s">
        <v>118</v>
      </c>
      <c r="F15" s="34" t="s">
        <v>119</v>
      </c>
      <c r="G15" s="34" t="s">
        <v>120</v>
      </c>
      <c r="H15" s="34" t="s">
        <v>121</v>
      </c>
      <c r="I15" s="34" t="s">
        <v>122</v>
      </c>
      <c r="J15" s="35"/>
      <c r="K15" s="36" t="s">
        <v>39</v>
      </c>
      <c r="L15" s="37" t="s">
        <v>72</v>
      </c>
      <c r="M15" s="38" t="s">
        <v>123</v>
      </c>
      <c r="N15" s="34" t="s">
        <v>98</v>
      </c>
      <c r="O15" s="39" t="s">
        <v>75</v>
      </c>
    </row>
    <row r="16" spans="1:15" ht="15.75" customHeight="1" x14ac:dyDescent="0.25">
      <c r="B16" s="58" t="s">
        <v>124</v>
      </c>
      <c r="C16" s="58"/>
      <c r="D16" s="58"/>
      <c r="E16" s="58"/>
      <c r="F16" s="58"/>
      <c r="G16" s="58"/>
      <c r="H16" s="58"/>
      <c r="I16" s="58"/>
      <c r="J16" s="58"/>
      <c r="K16" s="58"/>
      <c r="L16" s="58"/>
      <c r="M16" s="58"/>
      <c r="N16" s="58"/>
      <c r="O16" s="58"/>
    </row>
    <row r="17" spans="2:15" ht="89.25" x14ac:dyDescent="0.25">
      <c r="B17" s="33" t="s">
        <v>125</v>
      </c>
      <c r="C17" s="33" t="s">
        <v>126</v>
      </c>
      <c r="D17" s="34" t="s">
        <v>127</v>
      </c>
      <c r="E17" s="34" t="s">
        <v>128</v>
      </c>
      <c r="F17" s="34" t="s">
        <v>129</v>
      </c>
      <c r="G17" s="34" t="s">
        <v>130</v>
      </c>
      <c r="H17" s="34" t="s">
        <v>131</v>
      </c>
      <c r="I17" s="34" t="s">
        <v>132</v>
      </c>
      <c r="J17" s="35"/>
      <c r="K17" s="36" t="s">
        <v>39</v>
      </c>
      <c r="L17" s="37" t="s">
        <v>72</v>
      </c>
      <c r="M17" s="38" t="s">
        <v>133</v>
      </c>
      <c r="N17" s="34" t="s">
        <v>98</v>
      </c>
      <c r="O17" s="39" t="s">
        <v>134</v>
      </c>
    </row>
    <row r="18" spans="2:15" ht="89.25" x14ac:dyDescent="0.25">
      <c r="B18" s="33" t="s">
        <v>135</v>
      </c>
      <c r="C18" s="33" t="s">
        <v>136</v>
      </c>
      <c r="D18" s="40" t="s">
        <v>137</v>
      </c>
      <c r="E18" s="40" t="s">
        <v>138</v>
      </c>
      <c r="F18" s="40" t="s">
        <v>139</v>
      </c>
      <c r="G18" s="40" t="s">
        <v>140</v>
      </c>
      <c r="H18" s="40" t="s">
        <v>141</v>
      </c>
      <c r="I18" s="40" t="s">
        <v>142</v>
      </c>
      <c r="J18" s="41"/>
      <c r="K18" s="36" t="s">
        <v>39</v>
      </c>
      <c r="L18" s="37" t="s">
        <v>72</v>
      </c>
      <c r="M18" s="42" t="s">
        <v>143</v>
      </c>
      <c r="N18" s="40" t="s">
        <v>98</v>
      </c>
      <c r="O18" s="39" t="s">
        <v>134</v>
      </c>
    </row>
    <row r="19" spans="2:15" ht="15.75" customHeight="1" x14ac:dyDescent="0.25">
      <c r="B19" s="58" t="s">
        <v>144</v>
      </c>
      <c r="C19" s="58"/>
      <c r="D19" s="58"/>
      <c r="E19" s="58"/>
      <c r="F19" s="58"/>
      <c r="G19" s="58"/>
      <c r="H19" s="58"/>
      <c r="I19" s="58"/>
      <c r="J19" s="58"/>
      <c r="K19" s="58"/>
      <c r="L19" s="58"/>
      <c r="M19" s="58"/>
      <c r="N19" s="58"/>
      <c r="O19" s="58"/>
    </row>
    <row r="20" spans="2:15" ht="102" x14ac:dyDescent="0.25">
      <c r="B20" s="33" t="s">
        <v>145</v>
      </c>
      <c r="C20" s="33" t="s">
        <v>146</v>
      </c>
      <c r="D20" s="40" t="s">
        <v>147</v>
      </c>
      <c r="E20" s="40" t="s">
        <v>148</v>
      </c>
      <c r="F20" s="40" t="s">
        <v>149</v>
      </c>
      <c r="G20" s="40" t="s">
        <v>150</v>
      </c>
      <c r="H20" s="40" t="s">
        <v>151</v>
      </c>
      <c r="I20" s="40" t="s">
        <v>152</v>
      </c>
      <c r="J20" s="41"/>
      <c r="K20" s="36" t="s">
        <v>39</v>
      </c>
      <c r="L20" s="37" t="s">
        <v>72</v>
      </c>
      <c r="M20" s="42" t="s">
        <v>153</v>
      </c>
      <c r="N20" s="40" t="s">
        <v>98</v>
      </c>
      <c r="O20" s="39" t="s">
        <v>154</v>
      </c>
    </row>
    <row r="21" spans="2:15" ht="89.25" x14ac:dyDescent="0.25">
      <c r="B21" s="33" t="s">
        <v>155</v>
      </c>
      <c r="C21" s="33" t="s">
        <v>156</v>
      </c>
      <c r="D21" s="34" t="s">
        <v>147</v>
      </c>
      <c r="E21" s="34" t="s">
        <v>157</v>
      </c>
      <c r="F21" s="34" t="s">
        <v>158</v>
      </c>
      <c r="G21" s="34" t="s">
        <v>159</v>
      </c>
      <c r="H21" s="34" t="s">
        <v>160</v>
      </c>
      <c r="I21" s="34" t="s">
        <v>161</v>
      </c>
      <c r="J21" s="35"/>
      <c r="K21" s="36" t="s">
        <v>39</v>
      </c>
      <c r="L21" s="37" t="s">
        <v>72</v>
      </c>
      <c r="M21" s="38" t="s">
        <v>153</v>
      </c>
      <c r="N21" s="34" t="s">
        <v>98</v>
      </c>
      <c r="O21" s="39" t="s">
        <v>154</v>
      </c>
    </row>
    <row r="22" spans="2:15" ht="76.5" x14ac:dyDescent="0.25">
      <c r="B22" s="33" t="s">
        <v>162</v>
      </c>
      <c r="C22" s="33" t="s">
        <v>163</v>
      </c>
      <c r="D22" s="40" t="s">
        <v>147</v>
      </c>
      <c r="E22" s="40" t="s">
        <v>164</v>
      </c>
      <c r="F22" s="40" t="s">
        <v>165</v>
      </c>
      <c r="G22" s="40" t="s">
        <v>166</v>
      </c>
      <c r="H22" s="40" t="s">
        <v>167</v>
      </c>
      <c r="I22" s="40" t="s">
        <v>168</v>
      </c>
      <c r="J22" s="41"/>
      <c r="K22" s="36" t="s">
        <v>39</v>
      </c>
      <c r="L22" s="37" t="s">
        <v>72</v>
      </c>
      <c r="M22" s="42" t="s">
        <v>73</v>
      </c>
      <c r="N22" s="40" t="s">
        <v>98</v>
      </c>
      <c r="O22" s="39" t="s">
        <v>154</v>
      </c>
    </row>
    <row r="23" spans="2:15" ht="63.75" x14ac:dyDescent="0.25">
      <c r="B23" s="33" t="s">
        <v>169</v>
      </c>
      <c r="C23" s="33" t="s">
        <v>170</v>
      </c>
      <c r="D23" s="34" t="s">
        <v>147</v>
      </c>
      <c r="E23" s="34" t="s">
        <v>171</v>
      </c>
      <c r="F23" s="34" t="s">
        <v>172</v>
      </c>
      <c r="G23" s="34" t="s">
        <v>173</v>
      </c>
      <c r="H23" s="34" t="s">
        <v>174</v>
      </c>
      <c r="I23" s="34" t="s">
        <v>175</v>
      </c>
      <c r="J23" s="35"/>
      <c r="K23" s="36" t="s">
        <v>39</v>
      </c>
      <c r="L23" s="43" t="s">
        <v>43</v>
      </c>
      <c r="M23" s="38" t="s">
        <v>73</v>
      </c>
      <c r="N23" s="34" t="s">
        <v>98</v>
      </c>
      <c r="O23" s="39" t="s">
        <v>154</v>
      </c>
    </row>
    <row r="24" spans="2:15" ht="15.75" customHeight="1" x14ac:dyDescent="0.25">
      <c r="B24" s="58" t="s">
        <v>176</v>
      </c>
      <c r="C24" s="58"/>
      <c r="D24" s="58"/>
      <c r="E24" s="58"/>
      <c r="F24" s="58"/>
      <c r="G24" s="58"/>
      <c r="H24" s="58"/>
      <c r="I24" s="58"/>
      <c r="J24" s="58"/>
      <c r="K24" s="58"/>
      <c r="L24" s="58"/>
      <c r="M24" s="58"/>
      <c r="N24" s="58"/>
      <c r="O24" s="58"/>
    </row>
    <row r="25" spans="2:15" ht="89.25" x14ac:dyDescent="0.25">
      <c r="B25" s="33" t="s">
        <v>177</v>
      </c>
      <c r="C25" s="33" t="s">
        <v>178</v>
      </c>
      <c r="D25" s="34" t="s">
        <v>179</v>
      </c>
      <c r="E25" s="34" t="s">
        <v>180</v>
      </c>
      <c r="F25" s="34" t="s">
        <v>181</v>
      </c>
      <c r="G25" s="34" t="s">
        <v>182</v>
      </c>
      <c r="H25" s="34" t="s">
        <v>183</v>
      </c>
      <c r="I25" s="34" t="s">
        <v>184</v>
      </c>
      <c r="J25" s="35"/>
      <c r="K25" s="36" t="s">
        <v>39</v>
      </c>
      <c r="L25" s="37" t="s">
        <v>72</v>
      </c>
      <c r="M25" s="38" t="s">
        <v>185</v>
      </c>
      <c r="N25" s="34" t="s">
        <v>98</v>
      </c>
      <c r="O25" s="39" t="s">
        <v>186</v>
      </c>
    </row>
    <row r="26" spans="2:15" ht="89.25" x14ac:dyDescent="0.25">
      <c r="B26" s="33" t="s">
        <v>187</v>
      </c>
      <c r="C26" s="33" t="s">
        <v>188</v>
      </c>
      <c r="D26" s="40" t="s">
        <v>179</v>
      </c>
      <c r="E26" s="40" t="s">
        <v>189</v>
      </c>
      <c r="F26" s="40" t="s">
        <v>190</v>
      </c>
      <c r="G26" s="40" t="s">
        <v>191</v>
      </c>
      <c r="H26" s="40" t="s">
        <v>192</v>
      </c>
      <c r="I26" s="40" t="s">
        <v>193</v>
      </c>
      <c r="J26" s="41"/>
      <c r="K26" s="36" t="s">
        <v>39</v>
      </c>
      <c r="L26" s="43" t="s">
        <v>43</v>
      </c>
      <c r="M26" s="42" t="s">
        <v>194</v>
      </c>
      <c r="N26" s="40" t="s">
        <v>98</v>
      </c>
      <c r="O26" s="39" t="s">
        <v>186</v>
      </c>
    </row>
    <row r="27" spans="2:15" ht="114.75" x14ac:dyDescent="0.25">
      <c r="B27" s="33" t="s">
        <v>195</v>
      </c>
      <c r="C27" s="33" t="s">
        <v>196</v>
      </c>
      <c r="D27" s="34" t="s">
        <v>197</v>
      </c>
      <c r="E27" s="34" t="s">
        <v>198</v>
      </c>
      <c r="F27" s="34" t="s">
        <v>199</v>
      </c>
      <c r="G27" s="34" t="s">
        <v>200</v>
      </c>
      <c r="H27" s="34" t="s">
        <v>201</v>
      </c>
      <c r="I27" s="34" t="s">
        <v>202</v>
      </c>
      <c r="J27" s="35"/>
      <c r="K27" s="36" t="s">
        <v>39</v>
      </c>
      <c r="L27" s="37" t="s">
        <v>72</v>
      </c>
      <c r="M27" s="38" t="s">
        <v>185</v>
      </c>
      <c r="N27" s="34" t="s">
        <v>98</v>
      </c>
      <c r="O27" s="39" t="s">
        <v>203</v>
      </c>
    </row>
    <row r="28" spans="2:15" ht="15.75" customHeight="1" x14ac:dyDescent="0.25">
      <c r="B28" s="58" t="s">
        <v>204</v>
      </c>
      <c r="C28" s="58"/>
      <c r="D28" s="58"/>
      <c r="E28" s="58"/>
      <c r="F28" s="58"/>
      <c r="G28" s="58"/>
      <c r="H28" s="58"/>
      <c r="I28" s="58"/>
      <c r="J28" s="58"/>
      <c r="K28" s="58"/>
      <c r="L28" s="58"/>
      <c r="M28" s="58"/>
      <c r="N28" s="58"/>
      <c r="O28" s="58"/>
    </row>
    <row r="29" spans="2:15" ht="89.25" x14ac:dyDescent="0.25">
      <c r="B29" s="33" t="s">
        <v>205</v>
      </c>
      <c r="C29" s="33" t="s">
        <v>206</v>
      </c>
      <c r="D29" s="34" t="s">
        <v>207</v>
      </c>
      <c r="E29" s="34" t="s">
        <v>208</v>
      </c>
      <c r="F29" s="34" t="s">
        <v>209</v>
      </c>
      <c r="G29" s="34" t="s">
        <v>210</v>
      </c>
      <c r="H29" s="34" t="s">
        <v>211</v>
      </c>
      <c r="I29" s="34" t="s">
        <v>212</v>
      </c>
      <c r="J29" s="35"/>
      <c r="K29" s="36" t="s">
        <v>39</v>
      </c>
      <c r="L29" s="37" t="s">
        <v>72</v>
      </c>
      <c r="M29" s="38" t="s">
        <v>213</v>
      </c>
      <c r="N29" s="34" t="s">
        <v>214</v>
      </c>
      <c r="O29" s="39" t="s">
        <v>215</v>
      </c>
    </row>
    <row r="30" spans="2:15" ht="102" x14ac:dyDescent="0.25">
      <c r="B30" s="33" t="s">
        <v>216</v>
      </c>
      <c r="C30" s="33" t="s">
        <v>217</v>
      </c>
      <c r="D30" s="40" t="s">
        <v>218</v>
      </c>
      <c r="E30" s="40" t="s">
        <v>219</v>
      </c>
      <c r="F30" s="40" t="s">
        <v>220</v>
      </c>
      <c r="G30" s="40" t="s">
        <v>221</v>
      </c>
      <c r="H30" s="40" t="s">
        <v>222</v>
      </c>
      <c r="I30" s="40" t="s">
        <v>223</v>
      </c>
      <c r="J30" s="41"/>
      <c r="K30" s="36" t="s">
        <v>39</v>
      </c>
      <c r="L30" s="37" t="s">
        <v>72</v>
      </c>
      <c r="M30" s="42" t="s">
        <v>224</v>
      </c>
      <c r="N30" s="40" t="s">
        <v>214</v>
      </c>
      <c r="O30" s="39" t="s">
        <v>225</v>
      </c>
    </row>
    <row r="31" spans="2:15" ht="76.5" x14ac:dyDescent="0.25">
      <c r="B31" s="33" t="s">
        <v>226</v>
      </c>
      <c r="C31" s="33" t="s">
        <v>227</v>
      </c>
      <c r="D31" s="34" t="s">
        <v>218</v>
      </c>
      <c r="E31" s="34" t="s">
        <v>228</v>
      </c>
      <c r="F31" s="34" t="s">
        <v>229</v>
      </c>
      <c r="G31" s="34" t="s">
        <v>230</v>
      </c>
      <c r="H31" s="34" t="s">
        <v>231</v>
      </c>
      <c r="I31" s="34" t="s">
        <v>232</v>
      </c>
      <c r="J31" s="35"/>
      <c r="K31" s="36" t="s">
        <v>39</v>
      </c>
      <c r="L31" s="43" t="s">
        <v>43</v>
      </c>
      <c r="M31" s="38" t="s">
        <v>224</v>
      </c>
      <c r="N31" s="34" t="s">
        <v>214</v>
      </c>
      <c r="O31" s="39" t="s">
        <v>225</v>
      </c>
    </row>
    <row r="32" spans="2:15" ht="102" x14ac:dyDescent="0.25">
      <c r="B32" s="33" t="s">
        <v>233</v>
      </c>
      <c r="C32" s="33" t="s">
        <v>234</v>
      </c>
      <c r="D32" s="40" t="s">
        <v>235</v>
      </c>
      <c r="E32" s="40" t="s">
        <v>236</v>
      </c>
      <c r="F32" s="40" t="s">
        <v>237</v>
      </c>
      <c r="G32" s="40" t="s">
        <v>238</v>
      </c>
      <c r="H32" s="40" t="s">
        <v>239</v>
      </c>
      <c r="I32" s="40" t="s">
        <v>240</v>
      </c>
      <c r="J32" s="41"/>
      <c r="K32" s="36" t="s">
        <v>39</v>
      </c>
      <c r="L32" s="37" t="s">
        <v>72</v>
      </c>
      <c r="M32" s="42" t="s">
        <v>241</v>
      </c>
      <c r="N32" s="40" t="s">
        <v>242</v>
      </c>
      <c r="O32" s="39" t="s">
        <v>243</v>
      </c>
    </row>
    <row r="33" spans="2:15" ht="9.75" customHeight="1" x14ac:dyDescent="0.25"/>
    <row r="34" spans="2:15" ht="19.5" customHeight="1" x14ac:dyDescent="0.25">
      <c r="B34" s="51" t="s">
        <v>244</v>
      </c>
      <c r="C34" s="51"/>
      <c r="D34" s="51"/>
      <c r="E34" s="51"/>
      <c r="F34" s="51"/>
      <c r="G34" s="51"/>
      <c r="H34" s="51"/>
      <c r="I34" s="51"/>
      <c r="K34" s="22" t="s">
        <v>245</v>
      </c>
      <c r="L34" s="23" t="s">
        <v>38</v>
      </c>
      <c r="M34" s="24" t="s">
        <v>246</v>
      </c>
      <c r="N34" s="25" t="s">
        <v>247</v>
      </c>
      <c r="O34" s="26" t="s">
        <v>248</v>
      </c>
    </row>
    <row r="35" spans="2:15" ht="15.75" x14ac:dyDescent="0.25">
      <c r="B35" s="52" t="s">
        <v>249</v>
      </c>
      <c r="C35" s="52"/>
      <c r="D35" s="52"/>
      <c r="E35" s="52"/>
      <c r="F35" s="52"/>
      <c r="G35" s="52"/>
      <c r="H35" s="52"/>
      <c r="I35" s="52"/>
      <c r="K35" s="27"/>
      <c r="L35" s="28"/>
      <c r="M35" s="29"/>
      <c r="N35" s="30">
        <f>COUNTIF(K9:K32,"Fallido")</f>
        <v>0</v>
      </c>
      <c r="O35" s="31">
        <f>COUNTA(B9:B32)-COUNTBLANK(B9:B32)</f>
        <v>24</v>
      </c>
    </row>
  </sheetData>
  <mergeCells count="11">
    <mergeCell ref="B1:O4"/>
    <mergeCell ref="B34:I34"/>
    <mergeCell ref="B35:I35"/>
    <mergeCell ref="F5:G5"/>
    <mergeCell ref="I5:O5"/>
    <mergeCell ref="B5:E5"/>
    <mergeCell ref="B7:O7"/>
    <mergeCell ref="B16:O16"/>
    <mergeCell ref="B19:O19"/>
    <mergeCell ref="B24:O24"/>
    <mergeCell ref="B28:O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 Plan De Pruebas</vt:lpstr>
      <vt:lpstr>Casos De Pruebas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Erices Ponce</dc:creator>
  <cp:lastModifiedBy>Camila Erices Ponce</cp:lastModifiedBy>
  <dcterms:created xsi:type="dcterms:W3CDTF">2026-05-16T23:20:09Z</dcterms:created>
  <dcterms:modified xsi:type="dcterms:W3CDTF">2026-05-17T18:48:21Z</dcterms:modified>
</cp:coreProperties>
</file>